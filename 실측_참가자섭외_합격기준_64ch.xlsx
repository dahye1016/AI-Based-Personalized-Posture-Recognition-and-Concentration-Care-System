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섭외 케이스" sheetId="2" state="visible" r:id="rId4"/>
    <sheet name="참가자 명단" sheetId="3" state="visible" r:id="rId5"/>
    <sheet name="분류 기준" sheetId="4" state="visible" r:id="rId6"/>
    <sheet name="합격 기준" sheetId="5" state="visible" r:id="rId7"/>
    <sheet name="합격 기준 수치표" sheetId="6" state="visible" r:id="rId8"/>
    <sheet name="수집 현황" sheetId="7" state="visible" r:id="rId9"/>
    <sheet name="자세 수집 현황" sheetId="8" state="visible" r:id="rId10"/>
    <sheet name="실측 관찰값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<sst xmlns="http://schemas.openxmlformats.org/spreadsheetml/2006/main" count="858" uniqueCount="454">
  <si>
    <r>
      <rPr>
        <b val="true"/>
        <sz val="15"/>
        <color rgb="FF1F3864"/>
        <rFont val="Noto Sans CJK SC"/>
        <family val="2"/>
      </rPr>
      <t xml:space="preserve">실측 참가자 섭외 케이스 </t>
    </r>
    <r>
      <rPr>
        <b val="true"/>
        <sz val="15"/>
        <color rgb="FF1F3864"/>
        <rFont val="Malgun Gothic"/>
        <family val="0"/>
        <charset val="1"/>
      </rPr>
      <t xml:space="preserve">· </t>
    </r>
    <r>
      <rPr>
        <b val="true"/>
        <sz val="15"/>
        <color rgb="FF1F3864"/>
        <rFont val="Noto Sans CJK SC"/>
        <family val="2"/>
      </rPr>
      <t xml:space="preserve">자세별 합격 기준 </t>
    </r>
    <r>
      <rPr>
        <b val="true"/>
        <sz val="15"/>
        <color rgb="FF1F3864"/>
        <rFont val="Malgun Gothic"/>
        <family val="0"/>
        <charset val="1"/>
      </rPr>
      <t xml:space="preserve">(64ch)</t>
    </r>
  </si>
  <si>
    <r>
      <rPr>
        <sz val="10"/>
        <color rgb="FF595959"/>
        <rFont val="Malgun Gothic"/>
        <family val="0"/>
        <charset val="1"/>
      </rPr>
      <t xml:space="preserve">SeatCare 64</t>
    </r>
    <r>
      <rPr>
        <sz val="10"/>
        <color rgb="FF595959"/>
        <rFont val="Noto Sans CJK SC"/>
        <family val="2"/>
      </rPr>
      <t xml:space="preserve">채널</t>
    </r>
    <r>
      <rPr>
        <sz val="10"/>
        <color rgb="FF595959"/>
        <rFont val="Malgun Gothic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방석 </t>
    </r>
    <r>
      <rPr>
        <sz val="10"/>
        <color rgb="FF595959"/>
        <rFont val="Malgun Gothic"/>
        <family val="0"/>
        <charset val="1"/>
      </rPr>
      <t xml:space="preserve">32 + </t>
    </r>
    <r>
      <rPr>
        <sz val="10"/>
        <color rgb="FF595959"/>
        <rFont val="Noto Sans CJK SC"/>
        <family val="2"/>
      </rPr>
      <t xml:space="preserve">등받이 </t>
    </r>
    <r>
      <rPr>
        <sz val="10"/>
        <color rgb="FF595959"/>
        <rFont val="Malgun Gothic"/>
        <family val="0"/>
        <charset val="1"/>
      </rPr>
      <t xml:space="preserve">32) </t>
    </r>
    <r>
      <rPr>
        <sz val="10"/>
        <color rgb="FF595959"/>
        <rFont val="Noto Sans CJK SC"/>
        <family val="2"/>
      </rPr>
      <t xml:space="preserve">실측용</t>
    </r>
    <r>
      <rPr>
        <sz val="10"/>
        <color rgb="FF595959"/>
        <rFont val="Malgun Gothic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작성 </t>
    </r>
    <r>
      <rPr>
        <sz val="10"/>
        <color rgb="FF595959"/>
        <rFont val="Malgun Gothic"/>
        <family val="0"/>
        <charset val="1"/>
      </rPr>
      <t xml:space="preserve">2026-10-18, </t>
    </r>
    <r>
      <rPr>
        <sz val="10"/>
        <color rgb="FF595959"/>
        <rFont val="Noto Sans CJK SC"/>
        <family val="2"/>
      </rPr>
      <t xml:space="preserve">근거 데이터</t>
    </r>
    <r>
      <rPr>
        <sz val="10"/>
        <color rgb="FF595959"/>
        <rFont val="Malgun Gothic"/>
        <family val="0"/>
        <charset val="1"/>
      </rPr>
      <t xml:space="preserve">: feat/yewon </t>
    </r>
    <r>
      <rPr>
        <sz val="10"/>
        <color rgb="FF595959"/>
        <rFont val="Noto Sans CJK SC"/>
        <family val="2"/>
      </rPr>
      <t xml:space="preserve">커밋 </t>
    </r>
    <r>
      <rPr>
        <sz val="10"/>
        <color rgb="FF595959"/>
        <rFont val="Malgun Gothic"/>
        <family val="0"/>
        <charset val="1"/>
      </rPr>
      <t xml:space="preserve">27c67e4 (4</t>
    </r>
    <r>
      <rPr>
        <sz val="10"/>
        <color rgb="FF595959"/>
        <rFont val="Noto Sans CJK SC"/>
        <family val="2"/>
      </rPr>
      <t xml:space="preserve">명 </t>
    </r>
    <r>
      <rPr>
        <sz val="10"/>
        <color rgb="FF595959"/>
        <rFont val="Malgun Gothic"/>
        <family val="0"/>
        <charset val="1"/>
      </rPr>
      <t xml:space="preserve">28</t>
    </r>
    <r>
      <rPr>
        <sz val="10"/>
        <color rgb="FF595959"/>
        <rFont val="Noto Sans CJK SC"/>
        <family val="2"/>
      </rPr>
      <t xml:space="preserve">파일</t>
    </r>
    <r>
      <rPr>
        <sz val="10"/>
        <color rgb="FF595959"/>
        <rFont val="Malgun Gothic"/>
        <family val="0"/>
        <charset val="1"/>
      </rPr>
      <t xml:space="preserve">).</t>
    </r>
  </si>
  <si>
    <t xml:space="preserve">이 파일로 할 수 있는 것</t>
  </si>
  <si>
    <t xml:space="preserve">1</t>
  </si>
  <si>
    <r>
      <rPr>
        <sz val="10"/>
        <rFont val="Noto Sans CJK SC"/>
        <family val="2"/>
      </rPr>
      <t xml:space="preserve">섭외</t>
    </r>
    <r>
      <rPr>
        <sz val="10"/>
        <rFont val="Malgun Gothic"/>
        <family val="0"/>
        <charset val="1"/>
      </rPr>
      <t xml:space="preserve">: '</t>
    </r>
    <r>
      <rPr>
        <sz val="10"/>
        <rFont val="Noto Sans CJK SC"/>
        <family val="2"/>
      </rPr>
      <t xml:space="preserve">섭외 케이스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에서 누구를 더 모아야 하는지 보고</t>
    </r>
    <r>
      <rPr>
        <sz val="10"/>
        <rFont val="Malgun Gothic"/>
        <family val="0"/>
        <charset val="1"/>
      </rPr>
      <t xml:space="preserve">, '</t>
    </r>
    <r>
      <rPr>
        <sz val="10"/>
        <rFont val="Noto Sans CJK SC"/>
        <family val="2"/>
      </rPr>
      <t xml:space="preserve">참가자 명단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에 사람을 적으면 키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체중으로 케이스가 자동 배정됩니다</t>
    </r>
    <r>
      <rPr>
        <sz val="10"/>
        <rFont val="Malgun Gothic"/>
        <family val="0"/>
        <charset val="1"/>
      </rPr>
      <t xml:space="preserve">.</t>
    </r>
  </si>
  <si>
    <t xml:space="preserve">2</t>
  </si>
  <si>
    <r>
      <rPr>
        <sz val="10"/>
        <rFont val="Noto Sans CJK SC"/>
        <family val="2"/>
      </rPr>
      <t xml:space="preserve">수집</t>
    </r>
    <r>
      <rPr>
        <sz val="10"/>
        <rFont val="Malgun Gothic"/>
        <family val="0"/>
        <charset val="1"/>
      </rPr>
      <t xml:space="preserve">: '</t>
    </r>
    <r>
      <rPr>
        <sz val="10"/>
        <rFont val="Noto Sans CJK SC"/>
        <family val="2"/>
      </rPr>
      <t xml:space="preserve">합격 기준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의 자세 요령대로 </t>
    </r>
    <r>
      <rPr>
        <sz val="10"/>
        <rFont val="Malgun Gothic"/>
        <family val="0"/>
        <charset val="1"/>
      </rPr>
      <t xml:space="preserve">8</t>
    </r>
    <r>
      <rPr>
        <sz val="10"/>
        <rFont val="Noto Sans CJK SC"/>
        <family val="2"/>
      </rPr>
      <t xml:space="preserve">자세를 수집합니다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자세당 </t>
    </r>
    <r>
      <rPr>
        <sz val="10"/>
        <rFont val="Malgun Gothic"/>
        <family val="0"/>
        <charset val="1"/>
      </rPr>
      <t xml:space="preserve">20</t>
    </r>
    <r>
      <rPr>
        <sz val="10"/>
        <rFont val="Noto Sans CJK SC"/>
        <family val="2"/>
      </rPr>
      <t xml:space="preserve">초</t>
    </r>
    <r>
      <rPr>
        <sz val="10"/>
        <rFont val="Malgun Gothic"/>
        <family val="0"/>
        <charset val="1"/>
      </rPr>
      <t xml:space="preserve">).</t>
    </r>
  </si>
  <si>
    <t xml:space="preserve">3</t>
  </si>
  <si>
    <r>
      <rPr>
        <sz val="10"/>
        <rFont val="Noto Sans CJK SC"/>
        <family val="2"/>
      </rPr>
      <t xml:space="preserve">점검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수집한 폴더에 </t>
    </r>
    <r>
      <rPr>
        <sz val="10"/>
        <rFont val="Malgun Gothic"/>
        <family val="0"/>
        <charset val="1"/>
      </rPr>
      <t xml:space="preserve">qc_64ch.py</t>
    </r>
    <r>
      <rPr>
        <sz val="10"/>
        <rFont val="Noto Sans CJK SC"/>
        <family val="2"/>
      </rPr>
      <t xml:space="preserve">를 돌려 나온 </t>
    </r>
    <r>
      <rPr>
        <sz val="10"/>
        <rFont val="Malgun Gothic"/>
        <family val="0"/>
        <charset val="1"/>
      </rPr>
      <t xml:space="preserve">CSV</t>
    </r>
    <r>
      <rPr>
        <sz val="10"/>
        <rFont val="Noto Sans CJK SC"/>
        <family val="2"/>
      </rPr>
      <t xml:space="preserve">를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수집 현황</t>
    </r>
    <r>
      <rPr>
        <sz val="10"/>
        <rFont val="Malgun Gothic"/>
        <family val="0"/>
        <charset val="1"/>
      </rPr>
      <t xml:space="preserve">' A6</t>
    </r>
    <r>
      <rPr>
        <sz val="10"/>
        <rFont val="Noto Sans CJK SC"/>
        <family val="2"/>
      </rPr>
      <t xml:space="preserve">부터 붙여 넣으면 파일마다 </t>
    </r>
    <r>
      <rPr>
        <sz val="10"/>
        <rFont val="Malgun Gothic"/>
        <family val="0"/>
        <charset val="1"/>
      </rPr>
      <t xml:space="preserve">PASS/FAIL</t>
    </r>
    <r>
      <rPr>
        <sz val="10"/>
        <rFont val="Noto Sans CJK SC"/>
        <family val="2"/>
      </rPr>
      <t xml:space="preserve">이 나옵니다</t>
    </r>
    <r>
      <rPr>
        <sz val="10"/>
        <rFont val="Malgun Gothic"/>
        <family val="0"/>
        <charset val="1"/>
      </rPr>
      <t xml:space="preserve">.</t>
    </r>
  </si>
  <si>
    <t xml:space="preserve">4</t>
  </si>
  <si>
    <r>
      <rPr>
        <sz val="10"/>
        <rFont val="Noto Sans CJK SC"/>
        <family val="2"/>
      </rPr>
      <t xml:space="preserve">확인</t>
    </r>
    <r>
      <rPr>
        <sz val="10"/>
        <rFont val="Malgun Gothic"/>
        <family val="0"/>
        <charset val="1"/>
      </rPr>
      <t xml:space="preserve">: '</t>
    </r>
    <r>
      <rPr>
        <sz val="10"/>
        <rFont val="Noto Sans CJK SC"/>
        <family val="2"/>
      </rPr>
      <t xml:space="preserve">자세 수집 현황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에서 사람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자세별 부족한 칸을 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불합격 파일은 파일명에 </t>
    </r>
    <r>
      <rPr>
        <sz val="10"/>
        <rFont val="Malgun Gothic"/>
        <family val="0"/>
        <charset val="1"/>
      </rPr>
      <t xml:space="preserve">_reject</t>
    </r>
    <r>
      <rPr>
        <sz val="10"/>
        <rFont val="Noto Sans CJK SC"/>
        <family val="2"/>
      </rPr>
      <t xml:space="preserve">를 붙여 재촬영합니다</t>
    </r>
    <r>
      <rPr>
        <sz val="10"/>
        <rFont val="Malgun Gothic"/>
        <family val="0"/>
        <charset val="1"/>
      </rPr>
      <t xml:space="preserve">.</t>
    </r>
  </si>
  <si>
    <t xml:space="preserve">5</t>
  </si>
  <si>
    <r>
      <rPr>
        <sz val="10"/>
        <rFont val="Noto Sans CJK SC"/>
        <family val="2"/>
      </rPr>
      <t xml:space="preserve">조정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사람이 늘면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실측 관찰값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을 보며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합격 기준 수치표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의 숫자를 고칩니다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판정과 설명이 함께 바뀝니다</t>
    </r>
    <r>
      <rPr>
        <sz val="10"/>
        <rFont val="Malgun Gothic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</si>
  <si>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자세 </t>
    </r>
    <r>
      <rPr>
        <b val="true"/>
        <sz val="10"/>
        <rFont val="Malgun Gothic"/>
        <family val="0"/>
        <charset val="1"/>
      </rPr>
      <t xml:space="preserve">8</t>
    </r>
    <r>
      <rPr>
        <b val="true"/>
        <sz val="10"/>
        <rFont val="Noto Sans CJK SC"/>
        <family val="2"/>
      </rPr>
      <t xml:space="preserve">종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앱 순서 </t>
    </r>
    <r>
      <rPr>
        <b val="true"/>
        <sz val="10"/>
        <rFont val="Malgun Gothic"/>
        <family val="0"/>
        <charset val="1"/>
      </rPr>
      <t xml:space="preserve">0~7)</t>
    </r>
  </si>
  <si>
    <t xml:space="preserve">값</t>
  </si>
  <si>
    <t xml:space="preserve">코드</t>
  </si>
  <si>
    <t xml:space="preserve">영문</t>
  </si>
  <si>
    <t xml:space="preserve">한글</t>
  </si>
  <si>
    <t xml:space="preserve">등받이 핵심 신호</t>
  </si>
  <si>
    <t xml:space="preserve">방석 핵심 신호</t>
  </si>
  <si>
    <t xml:space="preserve">p0</t>
  </si>
  <si>
    <t xml:space="preserve">not_sitting</t>
  </si>
  <si>
    <t xml:space="preserve">앉지 않음</t>
  </si>
  <si>
    <r>
      <rPr>
        <sz val="10"/>
        <rFont val="Noto Sans CJK SC"/>
        <family val="2"/>
      </rPr>
      <t xml:space="preserve">전부 </t>
    </r>
    <r>
      <rPr>
        <sz val="10"/>
        <rFont val="Malgun Gothic"/>
        <family val="0"/>
        <charset val="1"/>
      </rPr>
      <t xml:space="preserve">0</t>
    </r>
  </si>
  <si>
    <t xml:space="preserve">p1</t>
  </si>
  <si>
    <t xml:space="preserve">sitting_straight</t>
  </si>
  <si>
    <t xml:space="preserve">정자세</t>
  </si>
  <si>
    <r>
      <rPr>
        <sz val="10"/>
        <rFont val="Noto Sans CJK SC"/>
        <family val="2"/>
      </rPr>
      <t xml:space="preserve">허리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중간 줄 접촉</t>
    </r>
  </si>
  <si>
    <r>
      <rPr>
        <sz val="10"/>
        <rFont val="Noto Sans CJK SC"/>
        <family val="2"/>
      </rPr>
      <t xml:space="preserve">좌우 균형</t>
    </r>
    <r>
      <rPr>
        <sz val="10"/>
        <rFont val="Malgun Gothic"/>
        <family val="0"/>
        <charset val="1"/>
      </rPr>
      <t xml:space="preserve">(40~60%)</t>
    </r>
  </si>
  <si>
    <t xml:space="preserve">p2</t>
  </si>
  <si>
    <t xml:space="preserve">lean_forward</t>
  </si>
  <si>
    <t xml:space="preserve">앞으로 숙이기</t>
  </si>
  <si>
    <r>
      <rPr>
        <sz val="10"/>
        <rFont val="Noto Sans CJK SC"/>
        <family val="2"/>
      </rPr>
      <t xml:space="preserve">전부 </t>
    </r>
    <r>
      <rPr>
        <sz val="10"/>
        <rFont val="Malgun Gothic"/>
        <family val="0"/>
        <charset val="1"/>
      </rPr>
      <t xml:space="preserve">0 (</t>
    </r>
    <r>
      <rPr>
        <sz val="10"/>
        <rFont val="Noto Sans CJK SC"/>
        <family val="2"/>
      </rPr>
      <t xml:space="preserve">등이 안 닿음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</si>
  <si>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엉덩이 비중 감소</t>
    </r>
    <r>
      <rPr>
        <sz val="10"/>
        <rFont val="Malgun Gothic"/>
        <family val="0"/>
        <charset val="1"/>
      </rPr>
      <t xml:space="preserve">(32% </t>
    </r>
    <r>
      <rPr>
        <sz val="10"/>
        <rFont val="Noto Sans CJK SC"/>
        <family val="2"/>
      </rPr>
      <t xml:space="preserve">이하</t>
    </r>
    <r>
      <rPr>
        <sz val="10"/>
        <rFont val="Malgun Gothic"/>
        <family val="0"/>
        <charset val="1"/>
      </rPr>
      <t xml:space="preserve">)</t>
    </r>
  </si>
  <si>
    <t xml:space="preserve">p3</t>
  </si>
  <si>
    <t xml:space="preserve">cross_leg_right</t>
  </si>
  <si>
    <t xml:space="preserve">오른다리 꼬기</t>
  </si>
  <si>
    <t xml:space="preserve">접촉 유지</t>
  </si>
  <si>
    <r>
      <rPr>
        <sz val="10"/>
        <rFont val="Noto Sans CJK SC"/>
        <family val="2"/>
      </rPr>
      <t xml:space="preserve">오른쪽 비율 낮아짐</t>
    </r>
    <r>
      <rPr>
        <sz val="10"/>
        <rFont val="Malgun Gothic"/>
        <family val="0"/>
        <charset val="1"/>
      </rPr>
      <t xml:space="preserve">(46% </t>
    </r>
    <r>
      <rPr>
        <sz val="10"/>
        <rFont val="Noto Sans CJK SC"/>
        <family val="2"/>
      </rPr>
      <t xml:space="preserve">이하</t>
    </r>
    <r>
      <rPr>
        <sz val="10"/>
        <rFont val="Malgun Gothic"/>
        <family val="0"/>
        <charset val="1"/>
      </rPr>
      <t xml:space="preserve">)</t>
    </r>
  </si>
  <si>
    <t xml:space="preserve">p4</t>
  </si>
  <si>
    <t xml:space="preserve">cross_leg_left</t>
  </si>
  <si>
    <t xml:space="preserve">왼다리 꼬기</t>
  </si>
  <si>
    <r>
      <rPr>
        <sz val="10"/>
        <rFont val="Noto Sans CJK SC"/>
        <family val="2"/>
      </rPr>
      <t xml:space="preserve">오른쪽 비율 높아짐</t>
    </r>
    <r>
      <rPr>
        <sz val="10"/>
        <rFont val="Malgun Gothic"/>
        <family val="0"/>
        <charset val="1"/>
      </rPr>
      <t xml:space="preserve">(60% </t>
    </r>
    <r>
      <rPr>
        <sz val="10"/>
        <rFont val="Noto Sans CJK SC"/>
        <family val="2"/>
      </rPr>
      <t xml:space="preserve">이상</t>
    </r>
    <r>
      <rPr>
        <sz val="10"/>
        <rFont val="Malgun Gothic"/>
        <family val="0"/>
        <charset val="1"/>
      </rPr>
      <t xml:space="preserve">)</t>
    </r>
  </si>
  <si>
    <t xml:space="preserve">p5</t>
  </si>
  <si>
    <t xml:space="preserve">lean_right</t>
  </si>
  <si>
    <t xml:space="preserve">오른쪽 기대기</t>
  </si>
  <si>
    <r>
      <rPr>
        <sz val="10"/>
        <rFont val="Noto Sans CJK SC"/>
        <family val="2"/>
      </rPr>
      <t xml:space="preserve">오른쪽 비율 </t>
    </r>
    <r>
      <rPr>
        <sz val="10"/>
        <rFont val="Malgun Gothic"/>
        <family val="0"/>
        <charset val="1"/>
      </rPr>
      <t xml:space="preserve">80% </t>
    </r>
    <r>
      <rPr>
        <sz val="10"/>
        <rFont val="Noto Sans CJK SC"/>
        <family val="2"/>
      </rPr>
      <t xml:space="preserve">이상</t>
    </r>
  </si>
  <si>
    <r>
      <rPr>
        <sz val="10"/>
        <rFont val="Noto Sans CJK SC"/>
        <family val="2"/>
      </rPr>
      <t xml:space="preserve">오른쪽 비율 </t>
    </r>
    <r>
      <rPr>
        <sz val="10"/>
        <rFont val="Malgun Gothic"/>
        <family val="0"/>
        <charset val="1"/>
      </rPr>
      <t xml:space="preserve">52% </t>
    </r>
    <r>
      <rPr>
        <sz val="10"/>
        <rFont val="Noto Sans CJK SC"/>
        <family val="2"/>
      </rPr>
      <t xml:space="preserve">이상</t>
    </r>
  </si>
  <si>
    <t xml:space="preserve">p6</t>
  </si>
  <si>
    <t xml:space="preserve">lean_left</t>
  </si>
  <si>
    <t xml:space="preserve">왼쪽 기대기</t>
  </si>
  <si>
    <r>
      <rPr>
        <sz val="10"/>
        <rFont val="Noto Sans CJK SC"/>
        <family val="2"/>
      </rPr>
      <t xml:space="preserve">오른쪽 비율 </t>
    </r>
    <r>
      <rPr>
        <sz val="10"/>
        <rFont val="Malgun Gothic"/>
        <family val="0"/>
        <charset val="1"/>
      </rPr>
      <t xml:space="preserve">20% </t>
    </r>
    <r>
      <rPr>
        <sz val="10"/>
        <rFont val="Noto Sans CJK SC"/>
        <family val="2"/>
      </rPr>
      <t xml:space="preserve">이하</t>
    </r>
  </si>
  <si>
    <t xml:space="preserve">뚜렷한 신호 없음</t>
  </si>
  <si>
    <t xml:space="preserve">p7</t>
  </si>
  <si>
    <t xml:space="preserve">turtle_neck</t>
  </si>
  <si>
    <t xml:space="preserve">거북목</t>
  </si>
  <si>
    <r>
      <rPr>
        <sz val="10"/>
        <rFont val="Noto Sans CJK SC"/>
        <family val="2"/>
      </rPr>
      <t xml:space="preserve">등은 닿고 어깨 줄 거의 </t>
    </r>
    <r>
      <rPr>
        <sz val="10"/>
        <rFont val="Malgun Gothic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</si>
  <si>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정자세와 비슷</t>
    </r>
    <r>
      <rPr>
        <sz val="10"/>
        <rFont val="Malgun Gothic"/>
        <family val="0"/>
        <charset val="1"/>
      </rPr>
      <t xml:space="preserve">(40~60%)</t>
    </r>
  </si>
  <si>
    <r>
      <rPr>
        <b val="true"/>
        <sz val="10"/>
        <rFont val="Noto Sans CJK SC"/>
        <family val="2"/>
      </rPr>
      <t xml:space="preserve">좌표계 </t>
    </r>
    <r>
      <rPr>
        <b val="true"/>
        <sz val="10"/>
        <rFont val="Malgun Gothic"/>
        <family val="0"/>
        <charset val="1"/>
      </rPr>
      <t xml:space="preserve">(2026-10-18, </t>
    </r>
    <r>
      <rPr>
        <b val="true"/>
        <sz val="10"/>
        <rFont val="Noto Sans CJK SC"/>
        <family val="2"/>
      </rPr>
      <t xml:space="preserve">방석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등받이 모두 뒤집은 뒤 기준</t>
    </r>
    <r>
      <rPr>
        <b val="true"/>
        <sz val="10"/>
        <rFont val="Malgun Gothic"/>
        <family val="0"/>
        <charset val="1"/>
      </rPr>
      <t xml:space="preserve">)</t>
    </r>
  </si>
  <si>
    <t xml:space="preserve">•</t>
  </si>
  <si>
    <r>
      <rPr>
        <sz val="10"/>
        <rFont val="Noto Sans CJK SC"/>
        <family val="2"/>
      </rPr>
      <t xml:space="preserve">방석 </t>
    </r>
    <r>
      <rPr>
        <sz val="10"/>
        <rFont val="Malgun Gothic"/>
        <family val="0"/>
        <charset val="1"/>
      </rPr>
      <t xml:space="preserve">ch0~31: </t>
    </r>
    <r>
      <rPr>
        <sz val="10"/>
        <rFont val="Noto Sans CJK SC"/>
        <family val="2"/>
      </rPr>
      <t xml:space="preserve">번호가 작을수록 사용자의 왼쪽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엉덩이 </t>
    </r>
    <r>
      <rPr>
        <sz val="10"/>
        <rFont val="Malgun Gothic"/>
        <family val="0"/>
        <charset val="1"/>
      </rPr>
      <t xml:space="preserve">ch0~9, </t>
    </r>
    <r>
      <rPr>
        <sz val="10"/>
        <rFont val="Noto Sans CJK SC"/>
        <family val="2"/>
      </rPr>
      <t xml:space="preserve">허벅지 </t>
    </r>
    <r>
      <rPr>
        <sz val="10"/>
        <rFont val="Malgun Gothic"/>
        <family val="0"/>
        <charset val="1"/>
      </rPr>
      <t xml:space="preserve">ch10~23, </t>
    </r>
    <r>
      <rPr>
        <sz val="10"/>
        <rFont val="Noto Sans CJK SC"/>
        <family val="2"/>
      </rPr>
      <t xml:space="preserve">무릎 </t>
    </r>
    <r>
      <rPr>
        <sz val="10"/>
        <rFont val="Malgun Gothic"/>
        <family val="0"/>
        <charset val="1"/>
      </rPr>
      <t xml:space="preserve">ch24~31 (</t>
    </r>
    <r>
      <rPr>
        <sz val="10"/>
        <rFont val="Noto Sans CJK SC"/>
        <family val="2"/>
      </rPr>
      <t xml:space="preserve">위아래는 그대로</t>
    </r>
    <r>
      <rPr>
        <sz val="10"/>
        <rFont val="Malgun Gothic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</si>
  <si>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등받이 </t>
    </r>
    <r>
      <rPr>
        <sz val="10"/>
        <rFont val="Malgun Gothic"/>
        <family val="0"/>
        <charset val="1"/>
      </rPr>
      <t xml:space="preserve">ch32~63: </t>
    </r>
    <r>
      <rPr>
        <sz val="10"/>
        <rFont val="Noto Sans CJK SC"/>
        <family val="2"/>
      </rPr>
      <t xml:space="preserve">번호가 작을수록 사용자의 오른쪽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허리 </t>
    </r>
    <r>
      <rPr>
        <sz val="10"/>
        <rFont val="Malgun Gothic"/>
        <family val="0"/>
        <charset val="1"/>
      </rPr>
      <t xml:space="preserve">ch32~41, </t>
    </r>
    <r>
      <rPr>
        <sz val="10"/>
        <rFont val="Noto Sans CJK SC"/>
        <family val="2"/>
      </rPr>
      <t xml:space="preserve">중간 </t>
    </r>
    <r>
      <rPr>
        <sz val="10"/>
        <rFont val="Malgun Gothic"/>
        <family val="0"/>
        <charset val="1"/>
      </rPr>
      <t xml:space="preserve">ch42~55, </t>
    </r>
    <r>
      <rPr>
        <sz val="10"/>
        <rFont val="Noto Sans CJK SC"/>
        <family val="2"/>
      </rPr>
      <t xml:space="preserve">어깨 </t>
    </r>
    <r>
      <rPr>
        <sz val="10"/>
        <rFont val="Malgun Gothic"/>
        <family val="0"/>
        <charset val="1"/>
      </rPr>
      <t xml:space="preserve">ch56~63.</t>
    </r>
  </si>
  <si>
    <r>
      <rPr>
        <sz val="10"/>
        <rFont val="Noto Sans CJK SC"/>
        <family val="2"/>
      </rPr>
      <t xml:space="preserve">뒤집기 전에 모은 </t>
    </r>
    <r>
      <rPr>
        <sz val="10"/>
        <rFont val="Malgun Gothic"/>
        <family val="0"/>
        <charset val="1"/>
      </rPr>
      <t xml:space="preserve">32ch </t>
    </r>
    <r>
      <rPr>
        <sz val="10"/>
        <rFont val="Noto Sans CJK SC"/>
        <family val="2"/>
      </rPr>
      <t xml:space="preserve">데이터는 좌우가 반대입니다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이 파일의 기준과 </t>
    </r>
    <r>
      <rPr>
        <sz val="10"/>
        <rFont val="Malgun Gothic"/>
        <family val="0"/>
        <charset val="1"/>
      </rPr>
      <t xml:space="preserve">qc_64ch.py</t>
    </r>
    <r>
      <rPr>
        <sz val="10"/>
        <rFont val="Noto Sans CJK SC"/>
        <family val="2"/>
      </rPr>
      <t xml:space="preserve">는 뒤집은 뒤 데이터에만 쓰세요</t>
    </r>
    <r>
      <rPr>
        <sz val="10"/>
        <rFont val="Malgun Gothic"/>
        <family val="0"/>
        <charset val="1"/>
      </rPr>
      <t xml:space="preserve">.</t>
    </r>
  </si>
  <si>
    <t xml:space="preserve">시트 구성</t>
  </si>
  <si>
    <t xml:space="preserve">섭외 케이스</t>
  </si>
  <si>
    <r>
      <rPr>
        <sz val="10"/>
        <rFont val="Noto Sans CJK SC"/>
        <family val="2"/>
      </rPr>
      <t xml:space="preserve">기본 </t>
    </r>
    <r>
      <rPr>
        <sz val="10"/>
        <rFont val="Malgun Gothic"/>
        <family val="0"/>
        <charset val="1"/>
      </rPr>
      <t xml:space="preserve">18(</t>
    </r>
    <r>
      <rPr>
        <sz val="10"/>
        <rFont val="Noto Sans CJK SC"/>
        <family val="2"/>
      </rPr>
      <t xml:space="preserve">성별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키</t>
    </r>
    <r>
      <rPr>
        <sz val="10"/>
        <rFont val="Malgun Gothic"/>
        <family val="0"/>
        <charset val="1"/>
      </rPr>
      <t xml:space="preserve">×</t>
    </r>
    <r>
      <rPr>
        <sz val="10"/>
        <rFont val="Noto Sans CJK SC"/>
        <family val="2"/>
      </rPr>
      <t xml:space="preserve">체형</t>
    </r>
    <r>
      <rPr>
        <sz val="10"/>
        <rFont val="Malgun Gothic"/>
        <family val="0"/>
        <charset val="1"/>
      </rPr>
      <t xml:space="preserve">) + </t>
    </r>
    <r>
      <rPr>
        <sz val="10"/>
        <rFont val="Noto Sans CJK SC"/>
        <family val="2"/>
      </rPr>
      <t xml:space="preserve">확장 </t>
    </r>
    <r>
      <rPr>
        <sz val="10"/>
        <rFont val="Malgun Gothic"/>
        <family val="0"/>
        <charset val="1"/>
      </rPr>
      <t xml:space="preserve">17. </t>
    </r>
    <r>
      <rPr>
        <sz val="10"/>
        <rFont val="Noto Sans CJK SC"/>
        <family val="2"/>
      </rPr>
      <t xml:space="preserve">우선순위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목표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확보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부족</t>
    </r>
  </si>
  <si>
    <t xml:space="preserve">참가자 명단</t>
  </si>
  <si>
    <r>
      <rPr>
        <sz val="10"/>
        <rFont val="Noto Sans CJK SC"/>
        <family val="2"/>
      </rPr>
      <t xml:space="preserve">사람 입력 → </t>
    </r>
    <r>
      <rPr>
        <sz val="10"/>
        <rFont val="Malgun Gothic"/>
        <family val="0"/>
        <charset val="1"/>
      </rPr>
      <t xml:space="preserve">BMI·</t>
    </r>
    <r>
      <rPr>
        <sz val="10"/>
        <rFont val="Noto Sans CJK SC"/>
        <family val="2"/>
      </rPr>
      <t xml:space="preserve">케이스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합격 현황 자동</t>
    </r>
  </si>
  <si>
    <t xml:space="preserve">분류 기준</t>
  </si>
  <si>
    <r>
      <rPr>
        <sz val="10"/>
        <rFont val="Noto Sans CJK SC"/>
        <family val="2"/>
      </rPr>
      <t xml:space="preserve">케이스 구간 경계값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키</t>
    </r>
    <r>
      <rPr>
        <sz val="10"/>
        <rFont val="Malgun Gothic"/>
        <family val="0"/>
        <charset val="1"/>
      </rPr>
      <t xml:space="preserve">·BMI)</t>
    </r>
  </si>
  <si>
    <t xml:space="preserve">합격 기준</t>
  </si>
  <si>
    <r>
      <rPr>
        <sz val="10"/>
        <rFont val="Noto Sans CJK SC"/>
        <family val="2"/>
      </rPr>
      <t xml:space="preserve">자세별 요령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기대 패턴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수치 기준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실패 조치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공통 품질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참가자 단위 기준</t>
    </r>
  </si>
  <si>
    <t xml:space="preserve">합격 기준 수치표</t>
  </si>
  <si>
    <r>
      <rPr>
        <sz val="10"/>
        <rFont val="Noto Sans CJK SC"/>
        <family val="2"/>
      </rPr>
      <t xml:space="preserve">판정에 쓰이는 숫자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하한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상한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여기만 고치면 전체가 바뀜</t>
    </r>
  </si>
  <si>
    <t xml:space="preserve">수집 현황</t>
  </si>
  <si>
    <r>
      <rPr>
        <sz val="10"/>
        <rFont val="Noto Sans CJK SC"/>
        <family val="2"/>
      </rPr>
      <t xml:space="preserve">파일별 지표와 자동 판정</t>
    </r>
    <r>
      <rPr>
        <sz val="10"/>
        <rFont val="Malgun Gothic"/>
        <family val="0"/>
        <charset val="1"/>
      </rPr>
      <t xml:space="preserve">(PASS/FAIL)</t>
    </r>
  </si>
  <si>
    <t xml:space="preserve">자세 수집 현황</t>
  </si>
  <si>
    <r>
      <rPr>
        <sz val="10"/>
        <rFont val="Noto Sans CJK SC"/>
        <family val="2"/>
      </rPr>
      <t xml:space="preserve">사람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자세 합격 파일 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부족 표시</t>
    </r>
  </si>
  <si>
    <t xml:space="preserve">실측 관찰값</t>
  </si>
  <si>
    <r>
      <rPr>
        <sz val="10"/>
        <rFont val="Noto Sans CJK SC"/>
        <family val="2"/>
      </rPr>
      <t xml:space="preserve">자세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지표의 최소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평균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최대와 현재 기준</t>
    </r>
  </si>
  <si>
    <t xml:space="preserve">색 규칙</t>
  </si>
  <si>
    <r>
      <rPr>
        <sz val="10"/>
        <color rgb="FF0000FF"/>
        <rFont val="Noto Sans CJK SC"/>
        <family val="2"/>
      </rPr>
      <t xml:space="preserve">노란 칸 </t>
    </r>
    <r>
      <rPr>
        <sz val="10"/>
        <color rgb="FF0000FF"/>
        <rFont val="Malgun Gothic"/>
        <family val="0"/>
        <charset val="1"/>
      </rPr>
      <t xml:space="preserve">+ </t>
    </r>
    <r>
      <rPr>
        <sz val="10"/>
        <color rgb="FF0000FF"/>
        <rFont val="Noto Sans CJK SC"/>
        <family val="2"/>
      </rPr>
      <t xml:space="preserve">파란 글씨</t>
    </r>
  </si>
  <si>
    <r>
      <rPr>
        <sz val="10"/>
        <rFont val="Noto Sans CJK SC"/>
        <family val="2"/>
      </rPr>
      <t xml:space="preserve">직접 입력하는 칸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키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체중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목표 인원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기준값 등</t>
    </r>
    <r>
      <rPr>
        <sz val="10"/>
        <rFont val="Malgun Gothic"/>
        <family val="0"/>
        <charset val="1"/>
      </rPr>
      <t xml:space="preserve">)</t>
    </r>
  </si>
  <si>
    <t xml:space="preserve">파란 글씨</t>
  </si>
  <si>
    <r>
      <rPr>
        <sz val="10"/>
        <rFont val="Noto Sans CJK SC"/>
        <family val="2"/>
      </rPr>
      <t xml:space="preserve">실측에서 가져온 고정 입력값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직접 바꿀 수 있는 기준 숫자</t>
    </r>
  </si>
  <si>
    <t xml:space="preserve">초록 글씨</t>
  </si>
  <si>
    <t xml:space="preserve">다른 시트를 참조하는 수식</t>
  </si>
  <si>
    <t xml:space="preserve">검정 글씨</t>
  </si>
  <si>
    <r>
      <rPr>
        <sz val="10"/>
        <rFont val="Noto Sans CJK SC"/>
        <family val="2"/>
      </rPr>
      <t xml:space="preserve">같은 시트 안에서 계산되는 수식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설명 문구</t>
    </r>
  </si>
  <si>
    <t xml:space="preserve">알아 둘 한계</t>
  </si>
  <si>
    <r>
      <rPr>
        <sz val="10"/>
        <rFont val="Noto Sans CJK SC"/>
        <family val="2"/>
      </rPr>
      <t xml:space="preserve">수치 기준은 </t>
    </r>
    <r>
      <rPr>
        <sz val="10"/>
        <rFont val="Malgun Gothic"/>
        <family val="0"/>
        <charset val="1"/>
      </rPr>
      <t xml:space="preserve">4</t>
    </r>
    <r>
      <rPr>
        <sz val="10"/>
        <rFont val="Noto Sans CJK SC"/>
        <family val="2"/>
      </rPr>
      <t xml:space="preserve">명 </t>
    </r>
    <r>
      <rPr>
        <sz val="10"/>
        <rFont val="Malgun Gothic"/>
        <family val="0"/>
        <charset val="1"/>
      </rPr>
      <t xml:space="preserve">28</t>
    </r>
    <r>
      <rPr>
        <sz val="10"/>
        <rFont val="Noto Sans CJK SC"/>
        <family val="2"/>
      </rPr>
      <t xml:space="preserve">파일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자세당 </t>
    </r>
    <r>
      <rPr>
        <sz val="10"/>
        <rFont val="Malgun Gothic"/>
        <family val="0"/>
        <charset val="1"/>
      </rPr>
      <t xml:space="preserve">2~4</t>
    </r>
    <r>
      <rPr>
        <sz val="10"/>
        <rFont val="Noto Sans CJK SC"/>
        <family val="2"/>
      </rPr>
      <t xml:space="preserve">개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에서 정한 초안입니다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사람이 늘면 바뀔 수 있습니다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</si>
  <si>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방석 좌우는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방석도 뒤집었다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는 팀 확인에 따랐습니다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등받이처럼 데이터로 경계를 확정한 것은 아니므로 탭 테스트로 확인하세요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방석 좌우가 반대라면 방석 오른쪽 비율 기준</t>
    </r>
    <r>
      <rPr>
        <sz val="10"/>
        <rFont val="Malgun Gothic"/>
        <family val="0"/>
        <charset val="1"/>
      </rPr>
      <t xml:space="preserve">(40~60, 46 </t>
    </r>
    <r>
      <rPr>
        <sz val="10"/>
        <rFont val="Noto Sans CJK SC"/>
        <family val="2"/>
      </rPr>
      <t xml:space="preserve">이하</t>
    </r>
    <r>
      <rPr>
        <sz val="10"/>
        <rFont val="Malgun Gothic"/>
        <family val="0"/>
        <charset val="1"/>
      </rPr>
      <t xml:space="preserve">, 60 </t>
    </r>
    <r>
      <rPr>
        <sz val="10"/>
        <rFont val="Noto Sans CJK SC"/>
        <family val="2"/>
      </rPr>
      <t xml:space="preserve">이상</t>
    </r>
    <r>
      <rPr>
        <sz val="10"/>
        <rFont val="Malgun Gothic"/>
        <family val="0"/>
        <charset val="1"/>
      </rPr>
      <t xml:space="preserve">, 52 </t>
    </r>
    <r>
      <rPr>
        <sz val="10"/>
        <rFont val="Noto Sans CJK SC"/>
        <family val="2"/>
      </rPr>
      <t xml:space="preserve">이상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을 </t>
    </r>
    <r>
      <rPr>
        <sz val="10"/>
        <rFont val="Malgun Gothic"/>
        <family val="0"/>
        <charset val="1"/>
      </rPr>
      <t xml:space="preserve">100</t>
    </r>
    <r>
      <rPr>
        <sz val="10"/>
        <rFont val="Noto Sans CJK SC"/>
        <family val="2"/>
      </rPr>
      <t xml:space="preserve">에서 뺀 값으로 바꿔야 합니다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</si>
  <si>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왼쪽 기대기는 방석에 뚜렷한 쏠림이 없어서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관찰 </t>
    </r>
    <r>
      <rPr>
        <sz val="10"/>
        <rFont val="Malgun Gothic"/>
        <family val="0"/>
        <charset val="1"/>
      </rPr>
      <t xml:space="preserve">44~55%) </t>
    </r>
    <r>
      <rPr>
        <sz val="10"/>
        <rFont val="Noto Sans CJK SC"/>
        <family val="2"/>
      </rPr>
      <t xml:space="preserve">등받이로만 판정합니다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</si>
  <si>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거북목은 어깨 줄만으로 정자세와 구분되지 않습니다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정자세도 어깨 줄이 </t>
    </r>
    <r>
      <rPr>
        <sz val="10"/>
        <rFont val="Malgun Gothic"/>
        <family val="0"/>
        <charset val="1"/>
      </rPr>
      <t xml:space="preserve">0</t>
    </r>
    <r>
      <rPr>
        <sz val="10"/>
        <rFont val="Noto Sans CJK SC"/>
        <family val="2"/>
      </rPr>
      <t xml:space="preserve">인 사람이 많음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등 접촉이 정자세보다 약해지는 점과 함께 봐야 합니다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</si>
  <si>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기준으로 </t>
    </r>
    <r>
      <rPr>
        <sz val="10"/>
        <rFont val="Malgun Gothic"/>
        <family val="0"/>
        <charset val="1"/>
      </rPr>
      <t xml:space="preserve">2026-10-18 </t>
    </r>
    <r>
      <rPr>
        <sz val="10"/>
        <rFont val="Noto Sans CJK SC"/>
        <family val="2"/>
      </rPr>
      <t xml:space="preserve">파일을 판정하면 </t>
    </r>
    <r>
      <rPr>
        <sz val="10"/>
        <rFont val="Malgun Gothic"/>
        <family val="0"/>
        <charset val="1"/>
      </rPr>
      <t xml:space="preserve">aro·junseo </t>
    </r>
    <r>
      <rPr>
        <sz val="10"/>
        <rFont val="Noto Sans CJK SC"/>
        <family val="2"/>
      </rPr>
      <t xml:space="preserve">거북목</t>
    </r>
    <r>
      <rPr>
        <sz val="10"/>
        <rFont val="Malgun Gothic"/>
        <family val="0"/>
        <charset val="1"/>
      </rPr>
      <t xml:space="preserve">, aro </t>
    </r>
    <r>
      <rPr>
        <sz val="10"/>
        <rFont val="Noto Sans CJK SC"/>
        <family val="2"/>
      </rPr>
      <t xml:space="preserve">일부 파일이 불합격으로 나옵니다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결과가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수집 현황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에 그대로 나와 있습니다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</si>
  <si>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BMI·</t>
    </r>
    <r>
      <rPr>
        <sz val="10"/>
        <rFont val="Noto Sans CJK SC"/>
        <family val="2"/>
      </rPr>
      <t xml:space="preserve">키는 케이스를 나누는 숫자일 뿐이며 건강을 판단하지 않습니다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개인 키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체중은 팀 내부에서만 공유하세요</t>
    </r>
    <r>
      <rPr>
        <sz val="10"/>
        <rFont val="Malgun Gothic"/>
        <family val="0"/>
        <charset val="1"/>
      </rPr>
      <t xml:space="preserve">.</t>
    </r>
  </si>
  <si>
    <r>
      <rPr>
        <b val="true"/>
        <sz val="15"/>
        <color rgb="FF1F3864"/>
        <rFont val="Noto Sans CJK SC"/>
        <family val="2"/>
      </rPr>
      <t xml:space="preserve">실측 참가자 섭외 케이스 </t>
    </r>
    <r>
      <rPr>
        <b val="true"/>
        <sz val="15"/>
        <color rgb="FF1F3864"/>
        <rFont val="Malgun Gothic"/>
        <family val="0"/>
        <charset val="1"/>
      </rPr>
      <t xml:space="preserve">(64ch: </t>
    </r>
    <r>
      <rPr>
        <b val="true"/>
        <sz val="15"/>
        <color rgb="FF1F3864"/>
        <rFont val="Noto Sans CJK SC"/>
        <family val="2"/>
      </rPr>
      <t xml:space="preserve">방석 </t>
    </r>
    <r>
      <rPr>
        <b val="true"/>
        <sz val="15"/>
        <color rgb="FF1F3864"/>
        <rFont val="Malgun Gothic"/>
        <family val="0"/>
        <charset val="1"/>
      </rPr>
      <t xml:space="preserve">+ </t>
    </r>
    <r>
      <rPr>
        <b val="true"/>
        <sz val="15"/>
        <color rgb="FF1F3864"/>
        <rFont val="Noto Sans CJK SC"/>
        <family val="2"/>
      </rPr>
      <t xml:space="preserve">등받이</t>
    </r>
    <r>
      <rPr>
        <b val="true"/>
        <sz val="15"/>
        <color rgb="FF1F3864"/>
        <rFont val="Malgun Gothic"/>
        <family val="0"/>
        <charset val="1"/>
      </rPr>
      <t xml:space="preserve">)</t>
    </r>
  </si>
  <si>
    <r>
      <rPr>
        <sz val="10"/>
        <color rgb="FF595959"/>
        <rFont val="Noto Sans CJK SC"/>
        <family val="2"/>
      </rPr>
      <t xml:space="preserve">기본 </t>
    </r>
    <r>
      <rPr>
        <sz val="10"/>
        <color rgb="FF595959"/>
        <rFont val="Malgun Gothic"/>
        <family val="0"/>
        <charset val="1"/>
      </rPr>
      <t xml:space="preserve">18</t>
    </r>
    <r>
      <rPr>
        <sz val="10"/>
        <color rgb="FF595959"/>
        <rFont val="Noto Sans CJK SC"/>
        <family val="2"/>
      </rPr>
      <t xml:space="preserve">케이스</t>
    </r>
    <r>
      <rPr>
        <sz val="10"/>
        <color rgb="FF595959"/>
        <rFont val="Malgun Gothic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성별 </t>
    </r>
    <r>
      <rPr>
        <sz val="10"/>
        <color rgb="FF595959"/>
        <rFont val="Malgun Gothic"/>
        <family val="0"/>
        <charset val="1"/>
      </rPr>
      <t xml:space="preserve">× </t>
    </r>
    <r>
      <rPr>
        <sz val="10"/>
        <color rgb="FF595959"/>
        <rFont val="Noto Sans CJK SC"/>
        <family val="2"/>
      </rPr>
      <t xml:space="preserve">키 </t>
    </r>
    <r>
      <rPr>
        <sz val="10"/>
        <color rgb="FF595959"/>
        <rFont val="Malgun Gothic"/>
        <family val="0"/>
        <charset val="1"/>
      </rPr>
      <t xml:space="preserve">× </t>
    </r>
    <r>
      <rPr>
        <sz val="10"/>
        <color rgb="FF595959"/>
        <rFont val="Noto Sans CJK SC"/>
        <family val="2"/>
      </rPr>
      <t xml:space="preserve">체형</t>
    </r>
    <r>
      <rPr>
        <sz val="10"/>
        <color rgb="FF595959"/>
        <rFont val="Malgun Gothic"/>
        <family val="0"/>
        <charset val="1"/>
      </rPr>
      <t xml:space="preserve">) + </t>
    </r>
    <r>
      <rPr>
        <sz val="10"/>
        <color rgb="FF595959"/>
        <rFont val="Noto Sans CJK SC"/>
        <family val="2"/>
      </rPr>
      <t xml:space="preserve">확장 </t>
    </r>
    <r>
      <rPr>
        <sz val="10"/>
        <color rgb="FF595959"/>
        <rFont val="Malgun Gothic"/>
        <family val="0"/>
        <charset val="1"/>
      </rPr>
      <t xml:space="preserve">17</t>
    </r>
    <r>
      <rPr>
        <sz val="10"/>
        <color rgb="FF595959"/>
        <rFont val="Noto Sans CJK SC"/>
        <family val="2"/>
      </rPr>
      <t xml:space="preserve">케이스</t>
    </r>
    <r>
      <rPr>
        <sz val="10"/>
        <color rgb="FF595959"/>
        <rFont val="Malgun Gothic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우선순위 </t>
    </r>
    <r>
      <rPr>
        <sz val="10"/>
        <color rgb="FF595959"/>
        <rFont val="Malgun Gothic"/>
        <family val="0"/>
        <charset val="1"/>
      </rPr>
      <t xml:space="preserve">1</t>
    </r>
    <r>
      <rPr>
        <sz val="10"/>
        <color rgb="FF595959"/>
        <rFont val="Noto Sans CJK SC"/>
        <family val="2"/>
      </rPr>
      <t xml:space="preserve">만 모아도 </t>
    </r>
    <r>
      <rPr>
        <sz val="10"/>
        <color rgb="FF595959"/>
        <rFont val="Malgun Gothic"/>
        <family val="0"/>
        <charset val="1"/>
      </rPr>
      <t xml:space="preserve">6</t>
    </r>
    <r>
      <rPr>
        <sz val="10"/>
        <color rgb="FF595959"/>
        <rFont val="Noto Sans CJK SC"/>
        <family val="2"/>
      </rPr>
      <t xml:space="preserve">명</t>
    </r>
    <r>
      <rPr>
        <sz val="10"/>
        <color rgb="FF595959"/>
        <rFont val="Malgun Gothic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남녀 포함</t>
    </r>
    <r>
      <rPr>
        <sz val="10"/>
        <color rgb="FF595959"/>
        <rFont val="Malgun Gothic"/>
        <family val="0"/>
        <charset val="1"/>
      </rPr>
      <t xml:space="preserve">)</t>
    </r>
    <r>
      <rPr>
        <sz val="10"/>
        <color rgb="FF595959"/>
        <rFont val="Noto Sans CJK SC"/>
        <family val="2"/>
      </rPr>
      <t xml:space="preserve">이 됩니다</t>
    </r>
    <r>
      <rPr>
        <sz val="10"/>
        <color rgb="FF595959"/>
        <rFont val="Malgun Gothic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확보 인원은 </t>
    </r>
    <r>
      <rPr>
        <sz val="10"/>
        <color rgb="FF595959"/>
        <rFont val="Malgun Gothic"/>
        <family val="0"/>
        <charset val="1"/>
      </rPr>
      <t xml:space="preserve">'</t>
    </r>
    <r>
      <rPr>
        <sz val="10"/>
        <color rgb="FF595959"/>
        <rFont val="Noto Sans CJK SC"/>
        <family val="2"/>
      </rPr>
      <t xml:space="preserve">참가자 명단</t>
    </r>
    <r>
      <rPr>
        <sz val="10"/>
        <color rgb="FF595959"/>
        <rFont val="Malgun Gothic"/>
        <family val="0"/>
        <charset val="1"/>
      </rPr>
      <t xml:space="preserve">'</t>
    </r>
    <r>
      <rPr>
        <sz val="10"/>
        <color rgb="FF595959"/>
        <rFont val="Noto Sans CJK SC"/>
        <family val="2"/>
      </rPr>
      <t xml:space="preserve">에서 자동 집계됩니다</t>
    </r>
    <r>
      <rPr>
        <sz val="10"/>
        <color rgb="FF595959"/>
        <rFont val="Malgun Gothic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</si>
  <si>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케이스 </t>
    </r>
    <r>
      <rPr>
        <b val="true"/>
        <sz val="10"/>
        <color rgb="FFFFFFFF"/>
        <rFont val="Malgun Gothic"/>
        <family val="0"/>
        <charset val="1"/>
      </rPr>
      <t xml:space="preserve">ID</t>
    </r>
  </si>
  <si>
    <t xml:space="preserve">구분</t>
  </si>
  <si>
    <t xml:space="preserve">성별</t>
  </si>
  <si>
    <t xml:space="preserve">키</t>
  </si>
  <si>
    <r>
      <rPr>
        <b val="true"/>
        <sz val="10"/>
        <color rgb="FFFFFFFF"/>
        <rFont val="Noto Sans CJK SC"/>
        <family val="2"/>
      </rPr>
      <t xml:space="preserve">체형 </t>
    </r>
    <r>
      <rPr>
        <b val="true"/>
        <sz val="10"/>
        <color rgb="FFFFFFFF"/>
        <rFont val="Malgun Gothic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조건</t>
    </r>
  </si>
  <si>
    <r>
      <rPr>
        <b val="true"/>
        <sz val="10"/>
        <color rgb="FFFFFFFF"/>
        <rFont val="Noto Sans CJK SC"/>
        <family val="2"/>
      </rPr>
      <t xml:space="preserve">검증 목적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방석</t>
    </r>
    <r>
      <rPr>
        <b val="true"/>
        <sz val="10"/>
        <color rgb="FFFFFFFF"/>
        <rFont val="Malgun Gothic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등받이에서 무엇을 보려는가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</si>
  <si>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우선순위</t>
  </si>
  <si>
    <t xml:space="preserve">목표 인원</t>
  </si>
  <si>
    <t xml:space="preserve">확보 인원</t>
  </si>
  <si>
    <t xml:space="preserve">부족</t>
  </si>
  <si>
    <t xml:space="preserve">비고</t>
  </si>
  <si>
    <t xml:space="preserve">F1</t>
  </si>
  <si>
    <t xml:space="preserve">기본</t>
  </si>
  <si>
    <t xml:space="preserve">여</t>
  </si>
  <si>
    <r>
      <rPr>
        <sz val="10"/>
        <rFont val="Noto Sans CJK SC"/>
        <family val="2"/>
      </rPr>
      <t xml:space="preserve">앉은키가 작아 등받이 어깨 줄이 닿는 위치가 달라질 수 있음 → 거북목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정자세의 어깨 줄 값 확인</t>
    </r>
    <r>
      <rPr>
        <sz val="10"/>
        <rFont val="Malgun Gothic"/>
        <family val="0"/>
        <charset val="1"/>
      </rPr>
      <t xml:space="preserve">; </t>
    </r>
    <r>
      <rPr>
        <sz val="10"/>
        <rFont val="Noto Sans CJK SC"/>
        <family val="2"/>
      </rPr>
      <t xml:space="preserve">압력이 약해 앉지 않음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앞으로 숙이기와 구분되는지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반응 채널 수 확인</t>
    </r>
  </si>
  <si>
    <t xml:space="preserve">F2</t>
  </si>
  <si>
    <r>
      <rPr>
        <sz val="10"/>
        <rFont val="Noto Sans CJK SC"/>
        <family val="2"/>
      </rPr>
      <t xml:space="preserve">앉은키가 작아 등받이 어깨 줄이 닿는 위치가 달라질 수 있음 → 거북목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정자세의 어깨 줄 값 확인</t>
    </r>
  </si>
  <si>
    <t xml:space="preserve">F3</t>
  </si>
  <si>
    <r>
      <rPr>
        <sz val="10"/>
        <rFont val="Noto Sans CJK SC"/>
        <family val="2"/>
      </rPr>
      <t xml:space="preserve">앉은키가 작아 등받이 어깨 줄이 닿는 위치가 달라질 수 있음 → 거북목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정자세의 어깨 줄 값 확인</t>
    </r>
    <r>
      <rPr>
        <sz val="10"/>
        <rFont val="Malgun Gothic"/>
        <family val="0"/>
        <charset val="1"/>
      </rPr>
      <t xml:space="preserve">; </t>
    </r>
    <r>
      <rPr>
        <sz val="10"/>
        <rFont val="Noto Sans CJK SC"/>
        <family val="2"/>
      </rPr>
      <t xml:space="preserve">압력이 커서 포화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최댓값 고정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여부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접촉 면적이 넓을 때의 좌우 비율 확인</t>
    </r>
  </si>
  <si>
    <t xml:space="preserve">F4</t>
  </si>
  <si>
    <r>
      <rPr>
        <sz val="10"/>
        <rFont val="Noto Sans CJK SC"/>
        <family val="2"/>
      </rPr>
      <t xml:space="preserve">압력이 약해 앉지 않음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앞으로 숙이기와 구분되는지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반응 채널 수 확인</t>
    </r>
  </si>
  <si>
    <t xml:space="preserve">F5</t>
  </si>
  <si>
    <r>
      <rPr>
        <sz val="10"/>
        <rFont val="Noto Sans CJK SC"/>
        <family val="2"/>
      </rPr>
      <t xml:space="preserve">기준 케이스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키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체형 모두 중간</t>
    </r>
    <r>
      <rPr>
        <sz val="10"/>
        <rFont val="Malgun Gothic"/>
        <family val="0"/>
        <charset val="1"/>
      </rPr>
      <t xml:space="preserve">) — </t>
    </r>
    <r>
      <rPr>
        <sz val="10"/>
        <rFont val="Noto Sans CJK SC"/>
        <family val="2"/>
      </rPr>
      <t xml:space="preserve">합격 기준과 모델 분포의 중심</t>
    </r>
  </si>
  <si>
    <t xml:space="preserve">F6</t>
  </si>
  <si>
    <r>
      <rPr>
        <sz val="10"/>
        <rFont val="Noto Sans CJK SC"/>
        <family val="2"/>
      </rPr>
      <t xml:space="preserve">압력이 커서 포화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최댓값 고정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여부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접촉 면적이 넓을 때의 좌우 비율 확인</t>
    </r>
  </si>
  <si>
    <t xml:space="preserve">F7</t>
  </si>
  <si>
    <r>
      <rPr>
        <sz val="10"/>
        <rFont val="Noto Sans CJK SC"/>
        <family val="2"/>
      </rPr>
      <t xml:space="preserve">앉은키가 커서 어깨가 매트 위로 벗어날 수 있음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허벅지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무릎 줄 접촉 증가 → 앞으로 숙이기 기준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엉덩이 비중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확인</t>
    </r>
    <r>
      <rPr>
        <sz val="10"/>
        <rFont val="Malgun Gothic"/>
        <family val="0"/>
        <charset val="1"/>
      </rPr>
      <t xml:space="preserve">; </t>
    </r>
    <r>
      <rPr>
        <sz val="10"/>
        <rFont val="Noto Sans CJK SC"/>
        <family val="2"/>
      </rPr>
      <t xml:space="preserve">압력이 약해 앉지 않음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앞으로 숙이기와 구분되는지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반응 채널 수 확인</t>
    </r>
  </si>
  <si>
    <t xml:space="preserve">F8</t>
  </si>
  <si>
    <r>
      <rPr>
        <sz val="10"/>
        <rFont val="Noto Sans CJK SC"/>
        <family val="2"/>
      </rPr>
      <t xml:space="preserve">앉은키가 커서 어깨가 매트 위로 벗어날 수 있음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허벅지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무릎 줄 접촉 증가 → 앞으로 숙이기 기준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엉덩이 비중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확인</t>
    </r>
  </si>
  <si>
    <t xml:space="preserve">F9</t>
  </si>
  <si>
    <r>
      <rPr>
        <sz val="10"/>
        <rFont val="Noto Sans CJK SC"/>
        <family val="2"/>
      </rPr>
      <t xml:space="preserve">앉은키가 커서 어깨가 매트 위로 벗어날 수 있음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허벅지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무릎 줄 접촉 증가 → 앞으로 숙이기 기준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엉덩이 비중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확인</t>
    </r>
    <r>
      <rPr>
        <sz val="10"/>
        <rFont val="Malgun Gothic"/>
        <family val="0"/>
        <charset val="1"/>
      </rPr>
      <t xml:space="preserve">; </t>
    </r>
    <r>
      <rPr>
        <sz val="10"/>
        <rFont val="Noto Sans CJK SC"/>
        <family val="2"/>
      </rPr>
      <t xml:space="preserve">압력이 커서 포화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최댓값 고정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여부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접촉 면적이 넓을 때의 좌우 비율 확인</t>
    </r>
  </si>
  <si>
    <t xml:space="preserve">M1</t>
  </si>
  <si>
    <t xml:space="preserve">남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</si>
  <si>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</si>
  <si>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</si>
  <si>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</si>
  <si>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</si>
  <si>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</si>
  <si>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</si>
  <si>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</si>
  <si>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</si>
  <si>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E01</t>
  </si>
  <si>
    <t xml:space="preserve">확장</t>
  </si>
  <si>
    <r>
      <rPr>
        <sz val="10"/>
        <rFont val="Malgun Gothic"/>
        <family val="0"/>
        <charset val="1"/>
      </rPr>
      <t xml:space="preserve">150cm </t>
    </r>
    <r>
      <rPr>
        <sz val="10"/>
        <rFont val="Noto Sans CJK SC"/>
        <family val="2"/>
      </rPr>
      <t xml:space="preserve">미만</t>
    </r>
  </si>
  <si>
    <t xml:space="preserve">상관없음</t>
  </si>
  <si>
    <r>
      <rPr>
        <sz val="10"/>
        <rFont val="Noto Sans CJK SC"/>
        <family val="2"/>
      </rPr>
      <t xml:space="preserve">키가 매우 작을 때 어깨 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무릎 줄이 매트 범위를 벗어나는지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센서 접촉 한계</t>
    </r>
  </si>
  <si>
    <t xml:space="preserve">E02</t>
  </si>
  <si>
    <r>
      <rPr>
        <sz val="10"/>
        <rFont val="Malgun Gothic"/>
        <family val="0"/>
        <charset val="1"/>
      </rPr>
      <t xml:space="preserve">172cm </t>
    </r>
    <r>
      <rPr>
        <sz val="10"/>
        <rFont val="Noto Sans CJK SC"/>
        <family val="2"/>
      </rPr>
      <t xml:space="preserve">이상</t>
    </r>
  </si>
  <si>
    <r>
      <rPr>
        <sz val="10"/>
        <rFont val="Noto Sans CJK SC"/>
        <family val="2"/>
      </rPr>
      <t xml:space="preserve">어깨가 매트 위로 벗어날 때 거북목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정자세 구분이 유지되는지</t>
    </r>
  </si>
  <si>
    <t xml:space="preserve">E03</t>
  </si>
  <si>
    <r>
      <rPr>
        <sz val="10"/>
        <rFont val="Malgun Gothic"/>
        <family val="0"/>
        <charset val="1"/>
      </rPr>
      <t xml:space="preserve">165cm </t>
    </r>
    <r>
      <rPr>
        <sz val="10"/>
        <rFont val="Noto Sans CJK SC"/>
        <family val="2"/>
      </rPr>
      <t xml:space="preserve">미만</t>
    </r>
  </si>
  <si>
    <r>
      <rPr>
        <sz val="10"/>
        <rFont val="Noto Sans CJK SC"/>
        <family val="2"/>
      </rPr>
      <t xml:space="preserve">작은 남성 — 성별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키 교차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방석 접촉 범위</t>
    </r>
  </si>
  <si>
    <t xml:space="preserve">E04</t>
  </si>
  <si>
    <r>
      <rPr>
        <sz val="10"/>
        <rFont val="Malgun Gothic"/>
        <family val="0"/>
        <charset val="1"/>
      </rPr>
      <t xml:space="preserve">188cm </t>
    </r>
    <r>
      <rPr>
        <sz val="10"/>
        <rFont val="Noto Sans CJK SC"/>
        <family val="2"/>
      </rPr>
      <t xml:space="preserve">이상</t>
    </r>
  </si>
  <si>
    <r>
      <rPr>
        <sz val="10"/>
        <rFont val="Noto Sans CJK SC"/>
        <family val="2"/>
      </rPr>
      <t xml:space="preserve">매우 큰 남성 — 무릎 줄 접촉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어깨 줄 벗어남</t>
    </r>
  </si>
  <si>
    <t xml:space="preserve">E05</t>
  </si>
  <si>
    <r>
      <rPr>
        <sz val="10"/>
        <rFont val="Malgun Gothic"/>
        <family val="0"/>
        <charset val="1"/>
      </rPr>
      <t xml:space="preserve">BMI 17.5 </t>
    </r>
    <r>
      <rPr>
        <sz val="10"/>
        <rFont val="Noto Sans CJK SC"/>
        <family val="2"/>
      </rPr>
      <t xml:space="preserve">미만</t>
    </r>
  </si>
  <si>
    <t xml:space="preserve">압력이 매우 약할 때 앉지 않음과 분리되는지</t>
  </si>
  <si>
    <t xml:space="preserve">E06</t>
  </si>
  <si>
    <t xml:space="preserve">E07</t>
  </si>
  <si>
    <r>
      <rPr>
        <sz val="10"/>
        <rFont val="Malgun Gothic"/>
        <family val="0"/>
        <charset val="1"/>
      </rPr>
      <t xml:space="preserve">BMI 28 </t>
    </r>
    <r>
      <rPr>
        <sz val="10"/>
        <rFont val="Noto Sans CJK SC"/>
        <family val="2"/>
      </rPr>
      <t xml:space="preserve">이상</t>
    </r>
  </si>
  <si>
    <r>
      <rPr>
        <sz val="10"/>
        <rFont val="Noto Sans CJK SC"/>
        <family val="2"/>
      </rPr>
      <t xml:space="preserve">압력 포화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최댓값 고정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와 넓은 접촉</t>
    </r>
  </si>
  <si>
    <t xml:space="preserve">E08</t>
  </si>
  <si>
    <r>
      <rPr>
        <sz val="10"/>
        <rFont val="Noto Sans CJK SC"/>
        <family val="2"/>
      </rPr>
      <t xml:space="preserve">포화 확인 — 현재 최대 체형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남성 </t>
    </r>
    <r>
      <rPr>
        <sz val="10"/>
        <rFont val="Malgun Gothic"/>
        <family val="0"/>
        <charset val="1"/>
      </rPr>
      <t xml:space="preserve">180cm·BMI 26)</t>
    </r>
    <r>
      <rPr>
        <sz val="10"/>
        <rFont val="Noto Sans CJK SC"/>
        <family val="2"/>
      </rPr>
      <t xml:space="preserve">보다 더 큰 쪽</t>
    </r>
  </si>
  <si>
    <t xml:space="preserve">E09</t>
  </si>
  <si>
    <t xml:space="preserve">무관</t>
  </si>
  <si>
    <r>
      <rPr>
        <sz val="10"/>
        <rFont val="Noto Sans CJK SC"/>
        <family val="2"/>
      </rPr>
      <t xml:space="preserve">평소 깊이 앉는 습관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등을 등받이에 항상 붙임</t>
    </r>
    <r>
      <rPr>
        <sz val="10"/>
        <rFont val="Malgun Gothic"/>
        <family val="0"/>
        <charset val="1"/>
      </rPr>
      <t xml:space="preserve">)</t>
    </r>
  </si>
  <si>
    <t xml:space="preserve">정자세에서 등받이 접촉이 큰 경우의 기준 상한 확인</t>
  </si>
  <si>
    <t xml:space="preserve">E10</t>
  </si>
  <si>
    <r>
      <rPr>
        <sz val="10"/>
        <rFont val="Noto Sans CJK SC"/>
        <family val="2"/>
      </rPr>
      <t xml:space="preserve">평소 걸터앉는 습관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엉덩이를 의자 앞쪽에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</si>
  <si>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등받이 접촉이 약한 사람의 정자세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거북목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앞으로 숙이기 구분</t>
    </r>
  </si>
  <si>
    <t xml:space="preserve">E11</t>
  </si>
  <si>
    <t xml:space="preserve">평소 오른다리 꼬는 습관</t>
  </si>
  <si>
    <r>
      <rPr>
        <sz val="10"/>
        <rFont val="Noto Sans CJK SC"/>
        <family val="2"/>
      </rPr>
      <t xml:space="preserve">좌우 비대칭 습관이 정자세 기준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방석 좌우 </t>
    </r>
    <r>
      <rPr>
        <sz val="10"/>
        <rFont val="Malgun Gothic"/>
        <family val="0"/>
        <charset val="1"/>
      </rPr>
      <t xml:space="preserve">40~60%)</t>
    </r>
    <r>
      <rPr>
        <sz val="10"/>
        <rFont val="Noto Sans CJK SC"/>
        <family val="2"/>
      </rPr>
      <t xml:space="preserve">을 깨는지</t>
    </r>
  </si>
  <si>
    <t xml:space="preserve">E12</t>
  </si>
  <si>
    <t xml:space="preserve">평소 왼다리 꼬는 습관</t>
  </si>
  <si>
    <t xml:space="preserve">E13</t>
  </si>
  <si>
    <r>
      <rPr>
        <sz val="10"/>
        <rFont val="Noto Sans CJK SC"/>
        <family val="2"/>
      </rPr>
      <t xml:space="preserve">의복 비교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얇은 옷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두꺼운 옷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후드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패딩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으로 각각 </t>
    </r>
    <r>
      <rPr>
        <sz val="10"/>
        <rFont val="Malgun Gothic"/>
        <family val="0"/>
        <charset val="1"/>
      </rPr>
      <t xml:space="preserve">8</t>
    </r>
    <r>
      <rPr>
        <sz val="10"/>
        <rFont val="Noto Sans CJK SC"/>
        <family val="2"/>
      </rPr>
      <t xml:space="preserve">자세</t>
    </r>
  </si>
  <si>
    <r>
      <rPr>
        <sz val="10"/>
        <rFont val="Noto Sans CJK SC"/>
        <family val="2"/>
      </rPr>
      <t xml:space="preserve">옷 두께가 등받이 압력에 주는 영향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기존 참가자 재측정 가능</t>
    </r>
    <r>
      <rPr>
        <sz val="10"/>
        <rFont val="Malgun Gothic"/>
        <family val="0"/>
        <charset val="1"/>
      </rPr>
      <t xml:space="preserve">)</t>
    </r>
  </si>
  <si>
    <t xml:space="preserve">E14</t>
  </si>
  <si>
    <t xml:space="preserve">같은 사람이 다른 날 재측정</t>
  </si>
  <si>
    <r>
      <rPr>
        <sz val="10"/>
        <rFont val="Noto Sans CJK SC"/>
        <family val="2"/>
      </rPr>
      <t xml:space="preserve">재현성 — 같은 사람의 일간 변동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기존 참가자 재측정</t>
    </r>
    <r>
      <rPr>
        <sz val="10"/>
        <rFont val="Malgun Gothic"/>
        <family val="0"/>
        <charset val="1"/>
      </rPr>
      <t xml:space="preserve">)</t>
    </r>
  </si>
  <si>
    <t xml:space="preserve">E15</t>
  </si>
  <si>
    <r>
      <rPr>
        <sz val="10"/>
        <rFont val="Noto Sans CJK SC"/>
        <family val="2"/>
      </rPr>
      <t xml:space="preserve">같은 사람이 등받이 각도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종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직각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약간 젖힘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</si>
  <si>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의자 조건 변화가 등받이 지표에 주는 영향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기존 참가자 재측정 가능</t>
    </r>
    <r>
      <rPr>
        <sz val="10"/>
        <rFont val="Malgun Gothic"/>
        <family val="0"/>
        <charset val="1"/>
      </rPr>
      <t xml:space="preserve">)</t>
    </r>
  </si>
  <si>
    <t xml:space="preserve">E16</t>
  </si>
  <si>
    <r>
      <rPr>
        <sz val="10"/>
        <rFont val="Noto Sans CJK SC"/>
        <family val="2"/>
      </rPr>
      <t xml:space="preserve">연령대 </t>
    </r>
    <r>
      <rPr>
        <sz val="10"/>
        <rFont val="Malgun Gothic"/>
        <family val="0"/>
        <charset val="1"/>
      </rPr>
      <t xml:space="preserve">30~40</t>
    </r>
    <r>
      <rPr>
        <sz val="10"/>
        <rFont val="Noto Sans CJK SC"/>
        <family val="2"/>
      </rPr>
      <t xml:space="preserve">대</t>
    </r>
  </si>
  <si>
    <r>
      <rPr>
        <sz val="10"/>
        <rFont val="Noto Sans CJK SC"/>
        <family val="2"/>
      </rPr>
      <t xml:space="preserve">현재 </t>
    </r>
    <r>
      <rPr>
        <sz val="10"/>
        <rFont val="Malgun Gothic"/>
        <family val="0"/>
        <charset val="1"/>
      </rPr>
      <t xml:space="preserve">20</t>
    </r>
    <r>
      <rPr>
        <sz val="10"/>
        <rFont val="Noto Sans CJK SC"/>
        <family val="2"/>
      </rPr>
      <t xml:space="preserve">대만 있는 연령 편중 해소</t>
    </r>
  </si>
  <si>
    <t xml:space="preserve">E17</t>
  </si>
  <si>
    <r>
      <rPr>
        <sz val="10"/>
        <rFont val="Noto Sans CJK SC"/>
        <family val="2"/>
      </rPr>
      <t xml:space="preserve">연령대 </t>
    </r>
    <r>
      <rPr>
        <sz val="10"/>
        <rFont val="Malgun Gothic"/>
        <family val="0"/>
        <charset val="1"/>
      </rPr>
      <t xml:space="preserve">50</t>
    </r>
    <r>
      <rPr>
        <sz val="10"/>
        <rFont val="Noto Sans CJK SC"/>
        <family val="2"/>
      </rPr>
      <t xml:space="preserve">대 이상</t>
    </r>
  </si>
  <si>
    <r>
      <rPr>
        <b val="true"/>
        <sz val="10"/>
        <rFont val="Noto Sans CJK SC"/>
        <family val="2"/>
      </rPr>
      <t xml:space="preserve">합계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전체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</si>
  <si>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합계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우선순위 </t>
    </r>
    <r>
      <rPr>
        <b val="true"/>
        <sz val="10"/>
        <rFont val="Malgun Gothic"/>
        <family val="0"/>
        <charset val="1"/>
      </rPr>
      <t xml:space="preserve">1)</t>
    </r>
  </si>
  <si>
    <r>
      <rPr>
        <sz val="10"/>
        <color rgb="FF595959"/>
        <rFont val="Noto Sans CJK SC"/>
        <family val="2"/>
      </rPr>
      <t xml:space="preserve">확보 인원 </t>
    </r>
    <r>
      <rPr>
        <sz val="10"/>
        <color rgb="FF595959"/>
        <rFont val="Malgun Gothic"/>
        <family val="0"/>
        <charset val="1"/>
      </rPr>
      <t xml:space="preserve">= '</t>
    </r>
    <r>
      <rPr>
        <sz val="10"/>
        <color rgb="FF595959"/>
        <rFont val="Noto Sans CJK SC"/>
        <family val="2"/>
      </rPr>
      <t xml:space="preserve">참가자 명단</t>
    </r>
    <r>
      <rPr>
        <sz val="10"/>
        <color rgb="FF595959"/>
        <rFont val="Malgun Gothic"/>
        <family val="0"/>
        <charset val="1"/>
      </rPr>
      <t xml:space="preserve">'</t>
    </r>
    <r>
      <rPr>
        <sz val="10"/>
        <color rgb="FF595959"/>
        <rFont val="Noto Sans CJK SC"/>
        <family val="2"/>
      </rPr>
      <t xml:space="preserve">의 기본 케이스</t>
    </r>
    <r>
      <rPr>
        <sz val="10"/>
        <color rgb="FF595959"/>
        <rFont val="Malgun Gothic"/>
        <family val="0"/>
        <charset val="1"/>
      </rPr>
      <t xml:space="preserve">(H</t>
    </r>
    <r>
      <rPr>
        <sz val="10"/>
        <color rgb="FF595959"/>
        <rFont val="Noto Sans CJK SC"/>
        <family val="2"/>
      </rPr>
      <t xml:space="preserve">열</t>
    </r>
    <r>
      <rPr>
        <sz val="10"/>
        <color rgb="FF595959"/>
        <rFont val="Malgun Gothic"/>
        <family val="0"/>
        <charset val="1"/>
      </rPr>
      <t xml:space="preserve">, </t>
    </r>
    <r>
      <rPr>
        <sz val="10"/>
        <color rgb="FF595959"/>
        <rFont val="Noto Sans CJK SC"/>
        <family val="2"/>
      </rPr>
      <t xml:space="preserve">키</t>
    </r>
    <r>
      <rPr>
        <sz val="10"/>
        <color rgb="FF595959"/>
        <rFont val="Malgun Gothic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체중으로 자동 판정</t>
    </r>
    <r>
      <rPr>
        <sz val="10"/>
        <color rgb="FF595959"/>
        <rFont val="Malgun Gothic"/>
        <family val="0"/>
        <charset val="1"/>
      </rPr>
      <t xml:space="preserve">) + </t>
    </r>
    <r>
      <rPr>
        <sz val="10"/>
        <color rgb="FF595959"/>
        <rFont val="Noto Sans CJK SC"/>
        <family val="2"/>
      </rPr>
      <t xml:space="preserve">추가 조건 케이스</t>
    </r>
    <r>
      <rPr>
        <sz val="10"/>
        <color rgb="FF595959"/>
        <rFont val="Malgun Gothic"/>
        <family val="0"/>
        <charset val="1"/>
      </rPr>
      <t xml:space="preserve">(I</t>
    </r>
    <r>
      <rPr>
        <sz val="10"/>
        <color rgb="FF595959"/>
        <rFont val="Noto Sans CJK SC"/>
        <family val="2"/>
      </rPr>
      <t xml:space="preserve">열</t>
    </r>
    <r>
      <rPr>
        <sz val="10"/>
        <color rgb="FF595959"/>
        <rFont val="Malgun Gothic"/>
        <family val="0"/>
        <charset val="1"/>
      </rPr>
      <t xml:space="preserve">, E01~E17 </t>
    </r>
    <r>
      <rPr>
        <sz val="10"/>
        <color rgb="FF595959"/>
        <rFont val="Noto Sans CJK SC"/>
        <family val="2"/>
      </rPr>
      <t xml:space="preserve">직접 입력</t>
    </r>
    <r>
      <rPr>
        <sz val="10"/>
        <color rgb="FF595959"/>
        <rFont val="Malgun Gothic"/>
        <family val="0"/>
        <charset val="1"/>
      </rPr>
      <t xml:space="preserve">)</t>
    </r>
    <r>
      <rPr>
        <sz val="10"/>
        <color rgb="FF595959"/>
        <rFont val="Noto Sans CJK SC"/>
        <family val="2"/>
      </rPr>
      <t xml:space="preserve">에 이 </t>
    </r>
    <r>
      <rPr>
        <sz val="10"/>
        <color rgb="FF595959"/>
        <rFont val="Malgun Gothic"/>
        <family val="0"/>
        <charset val="1"/>
      </rPr>
      <t xml:space="preserve">ID</t>
    </r>
    <r>
      <rPr>
        <sz val="10"/>
        <color rgb="FF595959"/>
        <rFont val="Noto Sans CJK SC"/>
        <family val="2"/>
      </rPr>
      <t xml:space="preserve">가 나온 횟수입니다</t>
    </r>
    <r>
      <rPr>
        <sz val="10"/>
        <color rgb="FF595959"/>
        <rFont val="Malgun Gothic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한 사람이 둘 다 해당하면 양쪽에 집계됩니다</t>
    </r>
    <r>
      <rPr>
        <sz val="10"/>
        <color rgb="FF595959"/>
        <rFont val="Malgun Gothic"/>
        <family val="0"/>
        <charset val="1"/>
      </rPr>
      <t xml:space="preserve">.</t>
    </r>
  </si>
  <si>
    <r>
      <rPr>
        <sz val="10"/>
        <color rgb="FF595959"/>
        <rFont val="Noto Sans CJK SC"/>
        <family val="2"/>
      </rPr>
      <t xml:space="preserve">우선순위</t>
    </r>
    <r>
      <rPr>
        <sz val="10"/>
        <color rgb="FF595959"/>
        <rFont val="Malgun Gothic"/>
        <family val="0"/>
        <charset val="1"/>
      </rPr>
      <t xml:space="preserve">: 1=</t>
    </r>
    <r>
      <rPr>
        <sz val="10"/>
        <color rgb="FF595959"/>
        <rFont val="Noto Sans CJK SC"/>
        <family val="2"/>
      </rPr>
      <t xml:space="preserve">필수</t>
    </r>
    <r>
      <rPr>
        <sz val="10"/>
        <color rgb="FF595959"/>
        <rFont val="Malgun Gothic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체격 양 끝과 중앙</t>
    </r>
    <r>
      <rPr>
        <sz val="10"/>
        <color rgb="FF595959"/>
        <rFont val="Malgun Gothic"/>
        <family val="0"/>
        <charset val="1"/>
      </rPr>
      <t xml:space="preserve">), 2=</t>
    </r>
    <r>
      <rPr>
        <sz val="10"/>
        <color rgb="FF595959"/>
        <rFont val="Noto Sans CJK SC"/>
        <family val="2"/>
      </rPr>
      <t xml:space="preserve">권장</t>
    </r>
    <r>
      <rPr>
        <sz val="10"/>
        <color rgb="FF595959"/>
        <rFont val="Malgun Gothic"/>
        <family val="0"/>
        <charset val="1"/>
      </rPr>
      <t xml:space="preserve">, 3=</t>
    </r>
    <r>
      <rPr>
        <sz val="10"/>
        <color rgb="FF595959"/>
        <rFont val="Noto Sans CJK SC"/>
        <family val="2"/>
      </rPr>
      <t xml:space="preserve">여유가 있을 때</t>
    </r>
    <r>
      <rPr>
        <sz val="10"/>
        <color rgb="FF595959"/>
        <rFont val="Malgun Gothic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우선순위</t>
    </r>
    <r>
      <rPr>
        <sz val="10"/>
        <color rgb="FF595959"/>
        <rFont val="Malgun Gothic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목표 인원은 파란 글씨라 직접 바꿔도 됩니다</t>
    </r>
    <r>
      <rPr>
        <sz val="10"/>
        <color rgb="FF595959"/>
        <rFont val="Malgun Gothic"/>
        <family val="0"/>
        <charset val="1"/>
      </rPr>
      <t xml:space="preserve">.</t>
    </r>
  </si>
  <si>
    <r>
      <rPr>
        <sz val="10"/>
        <color rgb="FF595959"/>
        <rFont val="Malgun Gothic"/>
        <family val="0"/>
        <charset val="1"/>
      </rPr>
      <t xml:space="preserve">E13·E14·E15</t>
    </r>
    <r>
      <rPr>
        <sz val="10"/>
        <color rgb="FF595959"/>
        <rFont val="Noto Sans CJK SC"/>
        <family val="2"/>
      </rPr>
      <t xml:space="preserve">는 새 사람이 아니라 기존 참가자를 다른 조건에서 다시 측정하는 케이스입니다</t>
    </r>
    <r>
      <rPr>
        <sz val="10"/>
        <color rgb="FF595959"/>
        <rFont val="Malgun Gothic"/>
        <family val="0"/>
        <charset val="1"/>
      </rPr>
      <t xml:space="preserve">.</t>
    </r>
  </si>
  <si>
    <r>
      <rPr>
        <sz val="10"/>
        <color rgb="FF595959"/>
        <rFont val="Noto Sans CJK SC"/>
        <family val="2"/>
      </rPr>
      <t xml:space="preserve">기본 </t>
    </r>
    <r>
      <rPr>
        <sz val="10"/>
        <color rgb="FF595959"/>
        <rFont val="Malgun Gothic"/>
        <family val="0"/>
        <charset val="1"/>
      </rPr>
      <t xml:space="preserve">18</t>
    </r>
    <r>
      <rPr>
        <sz val="10"/>
        <color rgb="FF595959"/>
        <rFont val="Noto Sans CJK SC"/>
        <family val="2"/>
      </rPr>
      <t xml:space="preserve">케이스의 구간 경계는 </t>
    </r>
    <r>
      <rPr>
        <sz val="10"/>
        <color rgb="FF595959"/>
        <rFont val="Malgun Gothic"/>
        <family val="0"/>
        <charset val="1"/>
      </rPr>
      <t xml:space="preserve">'</t>
    </r>
    <r>
      <rPr>
        <sz val="10"/>
        <color rgb="FF595959"/>
        <rFont val="Noto Sans CJK SC"/>
        <family val="2"/>
      </rPr>
      <t xml:space="preserve">분류 기준</t>
    </r>
    <r>
      <rPr>
        <sz val="10"/>
        <color rgb="FF595959"/>
        <rFont val="Malgun Gothic"/>
        <family val="0"/>
        <charset val="1"/>
      </rPr>
      <t xml:space="preserve">' </t>
    </r>
    <r>
      <rPr>
        <sz val="10"/>
        <color rgb="FF595959"/>
        <rFont val="Noto Sans CJK SC"/>
        <family val="2"/>
      </rPr>
      <t xml:space="preserve">시트에서 바꿉니다</t>
    </r>
    <r>
      <rPr>
        <sz val="10"/>
        <color rgb="FF595959"/>
        <rFont val="Malgun Gothic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팀의 기존 케이스 매트릭스와 경계가 다르면 그쪽에 맞추세요</t>
    </r>
    <r>
      <rPr>
        <sz val="10"/>
        <color rgb="FF595959"/>
        <rFont val="Malgun Gothic"/>
        <family val="0"/>
        <charset val="1"/>
      </rPr>
      <t xml:space="preserve">.</t>
    </r>
  </si>
  <si>
    <r>
      <rPr>
        <sz val="10"/>
        <color rgb="FF595959"/>
        <rFont val="Noto Sans CJK SC"/>
        <family val="2"/>
      </rPr>
      <t xml:space="preserve">노란 칸에 입력하세요</t>
    </r>
    <r>
      <rPr>
        <sz val="10"/>
        <color rgb="FF595959"/>
        <rFont val="Malgun Gothic"/>
        <family val="0"/>
        <charset val="1"/>
      </rPr>
      <t xml:space="preserve">. BMI·</t>
    </r>
    <r>
      <rPr>
        <sz val="10"/>
        <color rgb="FF595959"/>
        <rFont val="Noto Sans CJK SC"/>
        <family val="2"/>
      </rPr>
      <t xml:space="preserve">케이스</t>
    </r>
    <r>
      <rPr>
        <sz val="10"/>
        <color rgb="FF595959"/>
        <rFont val="Malgun Gothic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합격 현황은 자동 계산됩니다</t>
    </r>
    <r>
      <rPr>
        <sz val="10"/>
        <color rgb="FF595959"/>
        <rFont val="Malgun Gothic"/>
        <family val="0"/>
        <charset val="1"/>
      </rPr>
      <t xml:space="preserve">. 4~6</t>
    </r>
    <r>
      <rPr>
        <sz val="10"/>
        <color rgb="FF595959"/>
        <rFont val="Noto Sans CJK SC"/>
        <family val="2"/>
      </rPr>
      <t xml:space="preserve">행은 이미 수집된 </t>
    </r>
    <r>
      <rPr>
        <sz val="10"/>
        <color rgb="FF595959"/>
        <rFont val="Malgun Gothic"/>
        <family val="0"/>
        <charset val="1"/>
      </rPr>
      <t xml:space="preserve">4</t>
    </r>
    <r>
      <rPr>
        <sz val="10"/>
        <color rgb="FF595959"/>
        <rFont val="Noto Sans CJK SC"/>
        <family val="2"/>
      </rPr>
      <t xml:space="preserve">명</t>
    </r>
    <r>
      <rPr>
        <sz val="10"/>
        <color rgb="FF595959"/>
        <rFont val="Malgun Gothic"/>
        <family val="0"/>
        <charset val="1"/>
      </rPr>
      <t xml:space="preserve">(2026-10-18 </t>
    </r>
    <r>
      <rPr>
        <sz val="10"/>
        <color rgb="FF595959"/>
        <rFont val="Noto Sans CJK SC"/>
        <family val="2"/>
      </rPr>
      <t xml:space="preserve">커밋 </t>
    </r>
    <r>
      <rPr>
        <sz val="10"/>
        <color rgb="FF595959"/>
        <rFont val="Malgun Gothic"/>
        <family val="0"/>
        <charset val="1"/>
      </rPr>
      <t xml:space="preserve">27c67e4)</t>
    </r>
    <r>
      <rPr>
        <sz val="10"/>
        <color rgb="FF595959"/>
        <rFont val="Noto Sans CJK SC"/>
        <family val="2"/>
      </rPr>
      <t xml:space="preserve">입니다</t>
    </r>
    <r>
      <rPr>
        <sz val="10"/>
        <color rgb="FF595959"/>
        <rFont val="Malgun Gothic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</si>
  <si>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참가자 </t>
    </r>
    <r>
      <rPr>
        <b val="true"/>
        <sz val="10"/>
        <color rgb="FFFFFFFF"/>
        <rFont val="Malgun Gothic"/>
        <family val="0"/>
        <charset val="1"/>
      </rPr>
      <t xml:space="preserve">ID</t>
    </r>
  </si>
  <si>
    <r>
      <rPr>
        <b val="true"/>
        <sz val="10"/>
        <color rgb="FFFFFFFF"/>
        <rFont val="Malgun Gothic"/>
        <family val="0"/>
        <charset val="1"/>
      </rPr>
      <t xml:space="preserve">person (</t>
    </r>
    <r>
      <rPr>
        <b val="true"/>
        <sz val="10"/>
        <color rgb="FFFFFFFF"/>
        <rFont val="Noto Sans CJK SC"/>
        <family val="2"/>
      </rPr>
      <t xml:space="preserve">파일명 이름</t>
    </r>
    <r>
      <rPr>
        <b val="true"/>
        <sz val="10"/>
        <color rgb="FFFFFFFF"/>
        <rFont val="Malgun Gothic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영문 소문자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</si>
  <si>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키 </t>
    </r>
    <r>
      <rPr>
        <b val="true"/>
        <sz val="10"/>
        <color rgb="FFFFFFFF"/>
        <rFont val="Malgun Gothic"/>
        <family val="0"/>
        <charset val="1"/>
      </rPr>
      <t xml:space="preserve">(cm)</t>
    </r>
  </si>
  <si>
    <r>
      <rPr>
        <b val="true"/>
        <sz val="10"/>
        <color rgb="FFFFFFFF"/>
        <rFont val="Noto Sans CJK SC"/>
        <family val="2"/>
      </rPr>
      <t xml:space="preserve">체중 </t>
    </r>
    <r>
      <rPr>
        <b val="true"/>
        <sz val="10"/>
        <color rgb="FFFFFFFF"/>
        <rFont val="Malgun Gothic"/>
        <family val="0"/>
        <charset val="1"/>
      </rPr>
      <t xml:space="preserve">(kg)</t>
    </r>
  </si>
  <si>
    <t xml:space="preserve">연령대</t>
  </si>
  <si>
    <r>
      <rPr>
        <b val="true"/>
        <sz val="10"/>
        <color rgb="FFFFFFFF"/>
        <rFont val="Malgun Gothic"/>
        <family val="0"/>
        <charset val="1"/>
      </rPr>
      <t xml:space="preserve">BMI (</t>
    </r>
    <r>
      <rPr>
        <b val="true"/>
        <sz val="10"/>
        <color rgb="FFFFFFFF"/>
        <rFont val="Noto Sans CJK SC"/>
        <family val="2"/>
      </rPr>
      <t xml:space="preserve">자동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</si>
  <si>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기본 케이스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자동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</si>
  <si>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추가 조건 케이스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직접 입력</t>
    </r>
    <r>
      <rPr>
        <b val="true"/>
        <sz val="10"/>
        <color rgb="FFFFFFFF"/>
        <rFont val="Malgun Gothic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예</t>
    </r>
    <r>
      <rPr>
        <b val="true"/>
        <sz val="10"/>
        <color rgb="FFFFFFFF"/>
        <rFont val="Malgun Gothic"/>
        <family val="0"/>
        <charset val="1"/>
      </rPr>
      <t xml:space="preserve">: E10)</t>
    </r>
  </si>
  <si>
    <r>
      <rPr>
        <b val="true"/>
        <sz val="10"/>
        <color rgb="FFFFFFFF"/>
        <rFont val="Noto Sans CJK SC"/>
        <family val="2"/>
      </rPr>
      <t xml:space="preserve">합격 파일 수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자동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</si>
  <si>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합격한 자세 종류 </t>
    </r>
    <r>
      <rPr>
        <b val="true"/>
        <sz val="10"/>
        <color rgb="FFFFFFFF"/>
        <rFont val="Malgun Gothic"/>
        <family val="0"/>
        <charset val="1"/>
      </rPr>
      <t xml:space="preserve">(8</t>
    </r>
    <r>
      <rPr>
        <b val="true"/>
        <sz val="10"/>
        <color rgb="FFFFFFFF"/>
        <rFont val="Noto Sans CJK SC"/>
        <family val="2"/>
      </rPr>
      <t xml:space="preserve">종 중</t>
    </r>
    <r>
      <rPr>
        <b val="true"/>
        <sz val="10"/>
        <color rgb="FFFFFFFF"/>
        <rFont val="Malgun Gothic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자동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</si>
  <si>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P01</t>
  </si>
  <si>
    <t xml:space="preserve">dahye</t>
  </si>
  <si>
    <r>
      <rPr>
        <sz val="10"/>
        <color rgb="FF0000FF"/>
        <rFont val="Malgun Gothic"/>
        <family val="0"/>
        <charset val="1"/>
      </rPr>
      <t xml:space="preserve">20</t>
    </r>
    <r>
      <rPr>
        <sz val="10"/>
        <color rgb="FF0000FF"/>
        <rFont val="Noto Sans CJK SC"/>
        <family val="2"/>
      </rPr>
      <t xml:space="preserve">대</t>
    </r>
  </si>
  <si>
    <r>
      <rPr>
        <sz val="10"/>
        <rFont val="Noto Sans CJK SC"/>
        <family val="2"/>
      </rPr>
      <t xml:space="preserve">키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체중을 입력하면 케이스가 자동으로 정해집니다</t>
    </r>
  </si>
  <si>
    <t xml:space="preserve">P02</t>
  </si>
  <si>
    <t xml:space="preserve">aro</t>
  </si>
  <si>
    <t xml:space="preserve">P03</t>
  </si>
  <si>
    <t xml:space="preserve">yewon</t>
  </si>
  <si>
    <t xml:space="preserve">P04</t>
  </si>
  <si>
    <t xml:space="preserve">junseo</t>
  </si>
  <si>
    <r>
      <rPr>
        <sz val="10"/>
        <rFont val="Noto Sans CJK SC"/>
        <family val="2"/>
      </rPr>
      <t xml:space="preserve">키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체중은 커밋 </t>
    </r>
    <r>
      <rPr>
        <sz val="10"/>
        <rFont val="Malgun Gothic"/>
        <family val="0"/>
        <charset val="1"/>
      </rPr>
      <t xml:space="preserve">27c67e4 </t>
    </r>
    <r>
      <rPr>
        <sz val="10"/>
        <rFont val="Noto Sans CJK SC"/>
        <family val="2"/>
      </rPr>
      <t xml:space="preserve">설명에 적힌 값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예시 행</t>
    </r>
    <r>
      <rPr>
        <sz val="10"/>
        <rFont val="Malgun Gothic"/>
        <family val="0"/>
        <charset val="1"/>
      </rPr>
      <t xml:space="preserve">)</t>
    </r>
  </si>
  <si>
    <r>
      <rPr>
        <sz val="10"/>
        <color rgb="FF595959"/>
        <rFont val="Noto Sans CJK SC"/>
        <family val="2"/>
      </rPr>
      <t xml:space="preserve">범례</t>
    </r>
    <r>
      <rPr>
        <sz val="10"/>
        <color rgb="FF595959"/>
        <rFont val="Malgun Gothic"/>
        <family val="0"/>
        <charset val="1"/>
      </rPr>
      <t xml:space="preserve">: </t>
    </r>
    <r>
      <rPr>
        <sz val="10"/>
        <color rgb="FF595959"/>
        <rFont val="Noto Sans CJK SC"/>
        <family val="2"/>
      </rPr>
      <t xml:space="preserve">노란 칸 </t>
    </r>
    <r>
      <rPr>
        <sz val="10"/>
        <color rgb="FF595959"/>
        <rFont val="Malgun Gothic"/>
        <family val="0"/>
        <charset val="1"/>
      </rPr>
      <t xml:space="preserve">= </t>
    </r>
    <r>
      <rPr>
        <sz val="10"/>
        <color rgb="FF595959"/>
        <rFont val="Noto Sans CJK SC"/>
        <family val="2"/>
      </rPr>
      <t xml:space="preserve">직접 입력</t>
    </r>
    <r>
      <rPr>
        <sz val="10"/>
        <color rgb="FF595959"/>
        <rFont val="Malgun Gothic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파란 글씨</t>
    </r>
    <r>
      <rPr>
        <sz val="10"/>
        <color rgb="FF595959"/>
        <rFont val="Malgun Gothic"/>
        <family val="0"/>
        <charset val="1"/>
      </rPr>
      <t xml:space="preserve">), </t>
    </r>
    <r>
      <rPr>
        <sz val="10"/>
        <color rgb="FF595959"/>
        <rFont val="Noto Sans CJK SC"/>
        <family val="2"/>
      </rPr>
      <t xml:space="preserve">흰 칸 </t>
    </r>
    <r>
      <rPr>
        <sz val="10"/>
        <color rgb="FF595959"/>
        <rFont val="Malgun Gothic"/>
        <family val="0"/>
        <charset val="1"/>
      </rPr>
      <t xml:space="preserve">= </t>
    </r>
    <r>
      <rPr>
        <sz val="10"/>
        <color rgb="FF595959"/>
        <rFont val="Noto Sans CJK SC"/>
        <family val="2"/>
      </rPr>
      <t xml:space="preserve">자동 계산</t>
    </r>
    <r>
      <rPr>
        <sz val="10"/>
        <color rgb="FF595959"/>
        <rFont val="Malgun Gothic"/>
        <family val="0"/>
        <charset val="1"/>
      </rPr>
      <t xml:space="preserve">. 4</t>
    </r>
    <r>
      <rPr>
        <sz val="10"/>
        <color rgb="FF595959"/>
        <rFont val="Noto Sans CJK SC"/>
        <family val="2"/>
      </rPr>
      <t xml:space="preserve">행</t>
    </r>
    <r>
      <rPr>
        <sz val="10"/>
        <color rgb="FF595959"/>
        <rFont val="Malgun Gothic"/>
        <family val="0"/>
        <charset val="1"/>
      </rPr>
      <t xml:space="preserve">(P04 junseo)</t>
    </r>
    <r>
      <rPr>
        <sz val="10"/>
        <color rgb="FF595959"/>
        <rFont val="Noto Sans CJK SC"/>
        <family val="2"/>
      </rPr>
      <t xml:space="preserve">은 입력 형식을 보여 주는 예시이기도 합니다</t>
    </r>
    <r>
      <rPr>
        <sz val="10"/>
        <color rgb="FF595959"/>
        <rFont val="Malgun Gothic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개인 키</t>
    </r>
    <r>
      <rPr>
        <sz val="10"/>
        <color rgb="FF595959"/>
        <rFont val="Malgun Gothic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체중은 팀 내부에서만 공유하세요</t>
    </r>
    <r>
      <rPr>
        <sz val="10"/>
        <color rgb="FF595959"/>
        <rFont val="Malgun Gothic"/>
        <family val="0"/>
        <charset val="1"/>
      </rPr>
      <t xml:space="preserve">.</t>
    </r>
  </si>
  <si>
    <t xml:space="preserve">참가자 분류 기준</t>
  </si>
  <si>
    <r>
      <rPr>
        <sz val="10"/>
        <color rgb="FF595959"/>
        <rFont val="Noto Sans CJK SC"/>
        <family val="2"/>
      </rPr>
      <t xml:space="preserve">섭외 케이스 </t>
    </r>
    <r>
      <rPr>
        <sz val="10"/>
        <color rgb="FF595959"/>
        <rFont val="Malgun Gothic"/>
        <family val="0"/>
        <charset val="1"/>
      </rPr>
      <t xml:space="preserve">ID(F1~F9 / M1~M9)</t>
    </r>
    <r>
      <rPr>
        <sz val="10"/>
        <color rgb="FF595959"/>
        <rFont val="Noto Sans CJK SC"/>
        <family val="2"/>
      </rPr>
      <t xml:space="preserve">를 자동으로 정하는 기준값입니다</t>
    </r>
    <r>
      <rPr>
        <sz val="10"/>
        <color rgb="FF595959"/>
        <rFont val="Malgun Gothic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파란 글씨 숫자를 바꾸면 모든 시트가 따라 바뀝니다</t>
    </r>
    <r>
      <rPr>
        <sz val="10"/>
        <color rgb="FF595959"/>
        <rFont val="Malgun Gothic"/>
        <family val="0"/>
        <charset val="1"/>
      </rPr>
      <t xml:space="preserve">.</t>
    </r>
  </si>
  <si>
    <t xml:space="preserve">접두</t>
  </si>
  <si>
    <r>
      <rPr>
        <b val="true"/>
        <sz val="10"/>
        <color rgb="FFFFFFFF"/>
        <rFont val="Noto Sans CJK SC"/>
        <family val="2"/>
      </rPr>
      <t xml:space="preserve">키 </t>
    </r>
    <r>
      <rPr>
        <b val="true"/>
        <sz val="10"/>
        <color rgb="FFFFFFFF"/>
        <rFont val="Malgun Gothic"/>
        <family val="0"/>
        <charset val="1"/>
      </rPr>
      <t xml:space="preserve">'</t>
    </r>
    <r>
      <rPr>
        <b val="true"/>
        <sz val="10"/>
        <color rgb="FFFFFFFF"/>
        <rFont val="Noto Sans CJK SC"/>
        <family val="2"/>
      </rPr>
      <t xml:space="preserve">작음</t>
    </r>
    <r>
      <rPr>
        <b val="true"/>
        <sz val="10"/>
        <color rgb="FFFFFFFF"/>
        <rFont val="Malgun Gothic"/>
        <family val="0"/>
        <charset val="1"/>
      </rPr>
      <t xml:space="preserve">' </t>
    </r>
    <r>
      <rPr>
        <b val="true"/>
        <sz val="10"/>
        <color rgb="FFFFFFFF"/>
        <rFont val="Noto Sans CJK SC"/>
        <family val="2"/>
      </rPr>
      <t xml:space="preserve">기준 </t>
    </r>
    <r>
      <rPr>
        <b val="true"/>
        <sz val="10"/>
        <color rgb="FFFFFFFF"/>
        <rFont val="Malgun Gothic"/>
        <family val="0"/>
        <charset val="1"/>
      </rPr>
      <t xml:space="preserve">(cm </t>
    </r>
    <r>
      <rPr>
        <b val="true"/>
        <sz val="10"/>
        <color rgb="FFFFFFFF"/>
        <rFont val="Noto Sans CJK SC"/>
        <family val="2"/>
      </rPr>
      <t xml:space="preserve">미만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</si>
  <si>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키 </t>
    </r>
    <r>
      <rPr>
        <b val="true"/>
        <sz val="10"/>
        <color rgb="FFFFFFFF"/>
        <rFont val="Malgun Gothic"/>
        <family val="0"/>
        <charset val="1"/>
      </rPr>
      <t xml:space="preserve">'</t>
    </r>
    <r>
      <rPr>
        <b val="true"/>
        <sz val="10"/>
        <color rgb="FFFFFFFF"/>
        <rFont val="Noto Sans CJK SC"/>
        <family val="2"/>
      </rPr>
      <t xml:space="preserve">큼</t>
    </r>
    <r>
      <rPr>
        <b val="true"/>
        <sz val="10"/>
        <color rgb="FFFFFFFF"/>
        <rFont val="Malgun Gothic"/>
        <family val="0"/>
        <charset val="1"/>
      </rPr>
      <t xml:space="preserve">' </t>
    </r>
    <r>
      <rPr>
        <b val="true"/>
        <sz val="10"/>
        <color rgb="FFFFFFFF"/>
        <rFont val="Noto Sans CJK SC"/>
        <family val="2"/>
      </rPr>
      <t xml:space="preserve">기준 </t>
    </r>
    <r>
      <rPr>
        <b val="true"/>
        <sz val="10"/>
        <color rgb="FFFFFFFF"/>
        <rFont val="Malgun Gothic"/>
        <family val="0"/>
        <charset val="1"/>
      </rPr>
      <t xml:space="preserve">(cm </t>
    </r>
    <r>
      <rPr>
        <b val="true"/>
        <sz val="10"/>
        <color rgb="FFFFFFFF"/>
        <rFont val="Noto Sans CJK SC"/>
        <family val="2"/>
      </rPr>
      <t xml:space="preserve">이상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</si>
  <si>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F</t>
  </si>
  <si>
    <t xml:space="preserve">M</t>
  </si>
  <si>
    <t xml:space="preserve">체형 구분</t>
  </si>
  <si>
    <r>
      <rPr>
        <b val="true"/>
        <sz val="10"/>
        <color rgb="FFFFFFFF"/>
        <rFont val="Malgun Gothic"/>
        <family val="0"/>
        <charset val="1"/>
      </rPr>
      <t xml:space="preserve">BMI </t>
    </r>
    <r>
      <rPr>
        <b val="true"/>
        <sz val="10"/>
        <color rgb="FFFFFFFF"/>
        <rFont val="Noto Sans CJK SC"/>
        <family val="2"/>
      </rPr>
      <t xml:space="preserve">기준</t>
    </r>
  </si>
  <si>
    <r>
      <rPr>
        <sz val="10"/>
        <rFont val="Noto Sans CJK SC"/>
        <family val="2"/>
      </rPr>
      <t xml:space="preserve">마름 </t>
    </r>
    <r>
      <rPr>
        <sz val="10"/>
        <rFont val="Malgun Gothic"/>
        <family val="0"/>
        <charset val="1"/>
      </rPr>
      <t xml:space="preserve">(BMI </t>
    </r>
    <r>
      <rPr>
        <sz val="10"/>
        <rFont val="Noto Sans CJK SC"/>
        <family val="2"/>
      </rPr>
      <t xml:space="preserve">미만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</si>
  <si>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통통 </t>
    </r>
    <r>
      <rPr>
        <sz val="10"/>
        <rFont val="Malgun Gothic"/>
        <family val="0"/>
        <charset val="1"/>
      </rPr>
      <t xml:space="preserve">(BMI </t>
    </r>
    <r>
      <rPr>
        <sz val="10"/>
        <rFont val="Noto Sans CJK SC"/>
        <family val="2"/>
      </rPr>
      <t xml:space="preserve">이상</t>
    </r>
    <r>
      <rPr>
        <sz val="10"/>
        <rFont val="Malgun Gothic"/>
        <family val="0"/>
        <charset val="1"/>
      </rPr>
      <t xml:space="preserve">)</t>
    </r>
  </si>
  <si>
    <r>
      <rPr>
        <sz val="10"/>
        <color rgb="FF595959"/>
        <rFont val="Noto Sans CJK SC"/>
        <family val="2"/>
      </rPr>
      <t xml:space="preserve">케이스 </t>
    </r>
    <r>
      <rPr>
        <sz val="10"/>
        <color rgb="FF595959"/>
        <rFont val="Malgun Gothic"/>
        <family val="0"/>
        <charset val="1"/>
      </rPr>
      <t xml:space="preserve">ID = </t>
    </r>
    <r>
      <rPr>
        <sz val="10"/>
        <color rgb="FF595959"/>
        <rFont val="Noto Sans CJK SC"/>
        <family val="2"/>
      </rPr>
      <t xml:space="preserve">접두 </t>
    </r>
    <r>
      <rPr>
        <sz val="10"/>
        <color rgb="FF595959"/>
        <rFont val="Malgun Gothic"/>
        <family val="0"/>
        <charset val="1"/>
      </rPr>
      <t xml:space="preserve">+ ((</t>
    </r>
    <r>
      <rPr>
        <sz val="10"/>
        <color rgb="FF595959"/>
        <rFont val="Noto Sans CJK SC"/>
        <family val="2"/>
      </rPr>
      <t xml:space="preserve">키 구간 − </t>
    </r>
    <r>
      <rPr>
        <sz val="10"/>
        <color rgb="FF595959"/>
        <rFont val="Malgun Gothic"/>
        <family val="0"/>
        <charset val="1"/>
      </rPr>
      <t xml:space="preserve">1) × 3 + </t>
    </r>
    <r>
      <rPr>
        <sz val="10"/>
        <color rgb="FF595959"/>
        <rFont val="Noto Sans CJK SC"/>
        <family val="2"/>
      </rPr>
      <t xml:space="preserve">체형 구간</t>
    </r>
    <r>
      <rPr>
        <sz val="10"/>
        <color rgb="FF595959"/>
        <rFont val="Malgun Gothic"/>
        <family val="0"/>
        <charset val="1"/>
      </rPr>
      <t xml:space="preserve">).  </t>
    </r>
    <r>
      <rPr>
        <sz val="10"/>
        <color rgb="FF595959"/>
        <rFont val="Noto Sans CJK SC"/>
        <family val="2"/>
      </rPr>
      <t xml:space="preserve">키 구간</t>
    </r>
    <r>
      <rPr>
        <sz val="10"/>
        <color rgb="FF595959"/>
        <rFont val="Malgun Gothic"/>
        <family val="0"/>
        <charset val="1"/>
      </rPr>
      <t xml:space="preserve">: 1=</t>
    </r>
    <r>
      <rPr>
        <sz val="10"/>
        <color rgb="FF595959"/>
        <rFont val="Noto Sans CJK SC"/>
        <family val="2"/>
      </rPr>
      <t xml:space="preserve">작음</t>
    </r>
    <r>
      <rPr>
        <sz val="10"/>
        <color rgb="FF595959"/>
        <rFont val="Malgun Gothic"/>
        <family val="0"/>
        <charset val="1"/>
      </rPr>
      <t xml:space="preserve">, 2=</t>
    </r>
    <r>
      <rPr>
        <sz val="10"/>
        <color rgb="FF595959"/>
        <rFont val="Noto Sans CJK SC"/>
        <family val="2"/>
      </rPr>
      <t xml:space="preserve">보통</t>
    </r>
    <r>
      <rPr>
        <sz val="10"/>
        <color rgb="FF595959"/>
        <rFont val="Malgun Gothic"/>
        <family val="0"/>
        <charset val="1"/>
      </rPr>
      <t xml:space="preserve">, 3=</t>
    </r>
    <r>
      <rPr>
        <sz val="10"/>
        <color rgb="FF595959"/>
        <rFont val="Noto Sans CJK SC"/>
        <family val="2"/>
      </rPr>
      <t xml:space="preserve">큼</t>
    </r>
    <r>
      <rPr>
        <sz val="10"/>
        <color rgb="FF595959"/>
        <rFont val="Malgun Gothic"/>
        <family val="0"/>
        <charset val="1"/>
      </rPr>
      <t xml:space="preserve">.  </t>
    </r>
    <r>
      <rPr>
        <sz val="10"/>
        <color rgb="FF595959"/>
        <rFont val="Noto Sans CJK SC"/>
        <family val="2"/>
      </rPr>
      <t xml:space="preserve">체형 구간</t>
    </r>
    <r>
      <rPr>
        <sz val="10"/>
        <color rgb="FF595959"/>
        <rFont val="Malgun Gothic"/>
        <family val="0"/>
        <charset val="1"/>
      </rPr>
      <t xml:space="preserve">: 1=</t>
    </r>
    <r>
      <rPr>
        <sz val="10"/>
        <color rgb="FF595959"/>
        <rFont val="Noto Sans CJK SC"/>
        <family val="2"/>
      </rPr>
      <t xml:space="preserve">마름</t>
    </r>
    <r>
      <rPr>
        <sz val="10"/>
        <color rgb="FF595959"/>
        <rFont val="Malgun Gothic"/>
        <family val="0"/>
        <charset val="1"/>
      </rPr>
      <t xml:space="preserve">, 2=</t>
    </r>
    <r>
      <rPr>
        <sz val="10"/>
        <color rgb="FF595959"/>
        <rFont val="Noto Sans CJK SC"/>
        <family val="2"/>
      </rPr>
      <t xml:space="preserve">보통</t>
    </r>
    <r>
      <rPr>
        <sz val="10"/>
        <color rgb="FF595959"/>
        <rFont val="Malgun Gothic"/>
        <family val="0"/>
        <charset val="1"/>
      </rPr>
      <t xml:space="preserve">, 3=</t>
    </r>
    <r>
      <rPr>
        <sz val="10"/>
        <color rgb="FF595959"/>
        <rFont val="Noto Sans CJK SC"/>
        <family val="2"/>
      </rPr>
      <t xml:space="preserve">통통</t>
    </r>
    <r>
      <rPr>
        <sz val="10"/>
        <color rgb="FF595959"/>
        <rFont val="Malgun Gothic"/>
        <family val="0"/>
        <charset val="1"/>
      </rPr>
      <t xml:space="preserve">.  </t>
    </r>
    <r>
      <rPr>
        <sz val="10"/>
        <color rgb="FF595959"/>
        <rFont val="Noto Sans CJK SC"/>
        <family val="2"/>
      </rPr>
      <t xml:space="preserve">예</t>
    </r>
    <r>
      <rPr>
        <sz val="10"/>
        <color rgb="FF595959"/>
        <rFont val="Malgun Gothic"/>
        <family val="0"/>
        <charset val="1"/>
      </rPr>
      <t xml:space="preserve">) </t>
    </r>
    <r>
      <rPr>
        <sz val="10"/>
        <color rgb="FF595959"/>
        <rFont val="Noto Sans CJK SC"/>
        <family val="2"/>
      </rPr>
      <t xml:space="preserve">남성 </t>
    </r>
    <r>
      <rPr>
        <sz val="10"/>
        <color rgb="FF595959"/>
        <rFont val="Malgun Gothic"/>
        <family val="0"/>
        <charset val="1"/>
      </rPr>
      <t xml:space="preserve">180cm·BMI 26 → M9.</t>
    </r>
  </si>
  <si>
    <r>
      <rPr>
        <sz val="10"/>
        <color rgb="FF595959"/>
        <rFont val="Malgun Gothic"/>
        <family val="0"/>
        <charset val="1"/>
      </rPr>
      <t xml:space="preserve">BMI</t>
    </r>
    <r>
      <rPr>
        <sz val="10"/>
        <color rgb="FF595959"/>
        <rFont val="Noto Sans CJK SC"/>
        <family val="2"/>
      </rPr>
      <t xml:space="preserve">는 체중</t>
    </r>
    <r>
      <rPr>
        <sz val="10"/>
        <color rgb="FF595959"/>
        <rFont val="Malgun Gothic"/>
        <family val="0"/>
        <charset val="1"/>
      </rPr>
      <t xml:space="preserve">(kg) ÷ </t>
    </r>
    <r>
      <rPr>
        <sz val="10"/>
        <color rgb="FF595959"/>
        <rFont val="Noto Sans CJK SC"/>
        <family val="2"/>
      </rPr>
      <t xml:space="preserve">키</t>
    </r>
    <r>
      <rPr>
        <sz val="10"/>
        <color rgb="FF595959"/>
        <rFont val="Malgun Gothic"/>
        <family val="0"/>
        <charset val="1"/>
      </rPr>
      <t xml:space="preserve">(m)²</t>
    </r>
    <r>
      <rPr>
        <sz val="10"/>
        <color rgb="FF595959"/>
        <rFont val="Noto Sans CJK SC"/>
        <family val="2"/>
      </rPr>
      <t xml:space="preserve">로 계산하며 몸집을 나누기 위한 숫자일 뿐</t>
    </r>
    <r>
      <rPr>
        <sz val="10"/>
        <color rgb="FF595959"/>
        <rFont val="Malgun Gothic"/>
        <family val="0"/>
        <charset val="1"/>
      </rPr>
      <t xml:space="preserve">, </t>
    </r>
    <r>
      <rPr>
        <sz val="10"/>
        <color rgb="FF595959"/>
        <rFont val="Noto Sans CJK SC"/>
        <family val="2"/>
      </rPr>
      <t xml:space="preserve">건강 상태를 판단하는 값이 아닙니다</t>
    </r>
    <r>
      <rPr>
        <sz val="10"/>
        <color rgb="FF595959"/>
        <rFont val="Malgun Gothic"/>
        <family val="0"/>
        <charset val="1"/>
      </rPr>
      <t xml:space="preserve">.</t>
    </r>
  </si>
  <si>
    <r>
      <rPr>
        <sz val="10"/>
        <color rgb="FF595959"/>
        <rFont val="Noto Sans CJK SC"/>
        <family val="2"/>
      </rPr>
      <t xml:space="preserve">키 기준</t>
    </r>
    <r>
      <rPr>
        <sz val="10"/>
        <color rgb="FF595959"/>
        <rFont val="Malgun Gothic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여 </t>
    </r>
    <r>
      <rPr>
        <sz val="10"/>
        <color rgb="FF595959"/>
        <rFont val="Malgun Gothic"/>
        <family val="0"/>
        <charset val="1"/>
      </rPr>
      <t xml:space="preserve">158/165, </t>
    </r>
    <r>
      <rPr>
        <sz val="10"/>
        <color rgb="FF595959"/>
        <rFont val="Noto Sans CJK SC"/>
        <family val="2"/>
      </rPr>
      <t xml:space="preserve">남 </t>
    </r>
    <r>
      <rPr>
        <sz val="10"/>
        <color rgb="FF595959"/>
        <rFont val="Malgun Gothic"/>
        <family val="0"/>
        <charset val="1"/>
      </rPr>
      <t xml:space="preserve">170/178)</t>
    </r>
    <r>
      <rPr>
        <sz val="10"/>
        <color rgb="FF595959"/>
        <rFont val="Noto Sans CJK SC"/>
        <family val="2"/>
      </rPr>
      <t xml:space="preserve">은 이 시트에서 정한 초안입니다</t>
    </r>
    <r>
      <rPr>
        <sz val="10"/>
        <color rgb="FF595959"/>
        <rFont val="Malgun Gothic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팀의 기존 </t>
    </r>
    <r>
      <rPr>
        <sz val="10"/>
        <color rgb="FF595959"/>
        <rFont val="Malgun Gothic"/>
        <family val="0"/>
        <charset val="1"/>
      </rPr>
      <t xml:space="preserve">'</t>
    </r>
    <r>
      <rPr>
        <sz val="10"/>
        <color rgb="FF595959"/>
        <rFont val="Noto Sans CJK SC"/>
        <family val="2"/>
      </rPr>
      <t xml:space="preserve">실측 참가자 섭외 케이스 매트릭스</t>
    </r>
    <r>
      <rPr>
        <sz val="10"/>
        <color rgb="FF595959"/>
        <rFont val="Malgun Gothic"/>
        <family val="0"/>
        <charset val="1"/>
      </rPr>
      <t xml:space="preserve">'(F1~F9/M1~M9)</t>
    </r>
    <r>
      <rPr>
        <sz val="10"/>
        <color rgb="FF595959"/>
        <rFont val="Noto Sans CJK SC"/>
        <family val="2"/>
      </rPr>
      <t xml:space="preserve">와 구간 경계가 다르면 여기 숫자만 맞추세요</t>
    </r>
    <r>
      <rPr>
        <sz val="10"/>
        <color rgb="FF595959"/>
        <rFont val="Malgun Gothic"/>
        <family val="0"/>
        <charset val="1"/>
      </rPr>
      <t xml:space="preserve">.</t>
    </r>
  </si>
  <si>
    <r>
      <rPr>
        <b val="true"/>
        <sz val="15"/>
        <color rgb="FF1F3864"/>
        <rFont val="Noto Sans CJK SC"/>
        <family val="2"/>
      </rPr>
      <t xml:space="preserve">자세별 합격 기준 </t>
    </r>
    <r>
      <rPr>
        <b val="true"/>
        <sz val="15"/>
        <color rgb="FF1F3864"/>
        <rFont val="Malgun Gothic"/>
        <family val="0"/>
        <charset val="1"/>
      </rPr>
      <t xml:space="preserve">(</t>
    </r>
    <r>
      <rPr>
        <b val="true"/>
        <sz val="15"/>
        <color rgb="FF1F3864"/>
        <rFont val="Noto Sans CJK SC"/>
        <family val="2"/>
      </rPr>
      <t xml:space="preserve">방석 </t>
    </r>
    <r>
      <rPr>
        <b val="true"/>
        <sz val="15"/>
        <color rgb="FF1F3864"/>
        <rFont val="Malgun Gothic"/>
        <family val="0"/>
        <charset val="1"/>
      </rPr>
      <t xml:space="preserve">+ </t>
    </r>
    <r>
      <rPr>
        <b val="true"/>
        <sz val="15"/>
        <color rgb="FF1F3864"/>
        <rFont val="Noto Sans CJK SC"/>
        <family val="2"/>
      </rPr>
      <t xml:space="preserve">등받이</t>
    </r>
    <r>
      <rPr>
        <b val="true"/>
        <sz val="15"/>
        <color rgb="FF1F3864"/>
        <rFont val="Malgun Gothic"/>
        <family val="0"/>
        <charset val="1"/>
      </rPr>
      <t xml:space="preserve">)</t>
    </r>
  </si>
  <si>
    <r>
      <rPr>
        <sz val="10"/>
        <color rgb="FF595959"/>
        <rFont val="Noto Sans CJK SC"/>
        <family val="2"/>
      </rPr>
      <t xml:space="preserve">참가자에게 읽어 줄 자세 요령</t>
    </r>
    <r>
      <rPr>
        <sz val="10"/>
        <color rgb="FF595959"/>
        <rFont val="Malgun Gothic"/>
        <family val="0"/>
        <charset val="1"/>
      </rPr>
      <t xml:space="preserve">, </t>
    </r>
    <r>
      <rPr>
        <sz val="10"/>
        <color rgb="FF595959"/>
        <rFont val="Noto Sans CJK SC"/>
        <family val="2"/>
      </rPr>
      <t xml:space="preserve">자세별로 기대하는 압력 패턴</t>
    </r>
    <r>
      <rPr>
        <sz val="10"/>
        <color rgb="FF595959"/>
        <rFont val="Malgun Gothic"/>
        <family val="0"/>
        <charset val="1"/>
      </rPr>
      <t xml:space="preserve">, </t>
    </r>
    <r>
      <rPr>
        <sz val="10"/>
        <color rgb="FF595959"/>
        <rFont val="Noto Sans CJK SC"/>
        <family val="2"/>
      </rPr>
      <t xml:space="preserve">수치 기준</t>
    </r>
    <r>
      <rPr>
        <sz val="10"/>
        <color rgb="FF595959"/>
        <rFont val="Malgun Gothic"/>
        <family val="0"/>
        <charset val="1"/>
      </rPr>
      <t xml:space="preserve">, </t>
    </r>
    <r>
      <rPr>
        <sz val="10"/>
        <color rgb="FF595959"/>
        <rFont val="Noto Sans CJK SC"/>
        <family val="2"/>
      </rPr>
      <t xml:space="preserve">불합격일 때의 조치입니다</t>
    </r>
    <r>
      <rPr>
        <sz val="10"/>
        <color rgb="FF595959"/>
        <rFont val="Malgun Gothic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수치 기준은 </t>
    </r>
    <r>
      <rPr>
        <sz val="10"/>
        <color rgb="FF595959"/>
        <rFont val="Malgun Gothic"/>
        <family val="0"/>
        <charset val="1"/>
      </rPr>
      <t xml:space="preserve">'</t>
    </r>
    <r>
      <rPr>
        <sz val="10"/>
        <color rgb="FF595959"/>
        <rFont val="Noto Sans CJK SC"/>
        <family val="2"/>
      </rPr>
      <t xml:space="preserve">합격 기준 수치표</t>
    </r>
    <r>
      <rPr>
        <sz val="10"/>
        <color rgb="FF595959"/>
        <rFont val="Malgun Gothic"/>
        <family val="0"/>
        <charset val="1"/>
      </rPr>
      <t xml:space="preserve">'</t>
    </r>
    <r>
      <rPr>
        <sz val="10"/>
        <color rgb="FF595959"/>
        <rFont val="Noto Sans CJK SC"/>
        <family val="2"/>
      </rPr>
      <t xml:space="preserve">와 연동됩니다</t>
    </r>
    <r>
      <rPr>
        <sz val="10"/>
        <color rgb="FF595959"/>
        <rFont val="Malgun Gothic"/>
        <family val="0"/>
        <charset val="1"/>
      </rPr>
      <t xml:space="preserve">.</t>
    </r>
  </si>
  <si>
    <r>
      <rPr>
        <sz val="10"/>
        <color rgb="FF595959"/>
        <rFont val="Noto Sans CJK SC"/>
        <family val="2"/>
      </rPr>
      <t xml:space="preserve">좌우는 </t>
    </r>
    <r>
      <rPr>
        <sz val="10"/>
        <color rgb="FF595959"/>
        <rFont val="Malgun Gothic"/>
        <family val="0"/>
        <charset val="1"/>
      </rPr>
      <t xml:space="preserve">2026-10-18 </t>
    </r>
    <r>
      <rPr>
        <sz val="10"/>
        <color rgb="FF595959"/>
        <rFont val="Noto Sans CJK SC"/>
        <family val="2"/>
      </rPr>
      <t xml:space="preserve">뒤집은 매트 기준입니다</t>
    </r>
    <r>
      <rPr>
        <sz val="10"/>
        <color rgb="FF595959"/>
        <rFont val="Malgun Gothic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방석은 번호가 작을수록 사용자의 왼쪽</t>
    </r>
    <r>
      <rPr>
        <sz val="10"/>
        <color rgb="FF595959"/>
        <rFont val="Malgun Gothic"/>
        <family val="0"/>
        <charset val="1"/>
      </rPr>
      <t xml:space="preserve">, </t>
    </r>
    <r>
      <rPr>
        <sz val="10"/>
        <color rgb="FF595959"/>
        <rFont val="Noto Sans CJK SC"/>
        <family val="2"/>
      </rPr>
      <t xml:space="preserve">등받이는 번호가 작을수록 오른쪽</t>
    </r>
    <r>
      <rPr>
        <sz val="10"/>
        <color rgb="FF595959"/>
        <rFont val="Malgun Gothic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방석 좌우는 팀 확인에 따랐고 탭 테스트로 한 번 더 확인하세요</t>
    </r>
    <r>
      <rPr>
        <sz val="10"/>
        <color rgb="FF595959"/>
        <rFont val="Malgun Gothic"/>
        <family val="0"/>
        <charset val="1"/>
      </rPr>
      <t xml:space="preserve">.</t>
    </r>
  </si>
  <si>
    <t xml:space="preserve">자세</t>
  </si>
  <si>
    <r>
      <rPr>
        <b val="true"/>
        <sz val="10"/>
        <color rgb="FFFFFFFF"/>
        <rFont val="Noto Sans CJK SC"/>
        <family val="2"/>
      </rPr>
      <t xml:space="preserve">자세 요령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참가자에게 읽어 줄 문구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</si>
  <si>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방석에서 기대하는 것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엉덩이</t>
    </r>
    <r>
      <rPr>
        <b val="true"/>
        <sz val="10"/>
        <color rgb="FFFFFFFF"/>
        <rFont val="Malgun Gothic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허벅지</t>
    </r>
    <r>
      <rPr>
        <b val="true"/>
        <sz val="10"/>
        <color rgb="FFFFFFFF"/>
        <rFont val="Malgun Gothic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무릎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</si>
  <si>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등받이에서 기대하는 것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허리</t>
    </r>
    <r>
      <rPr>
        <b val="true"/>
        <sz val="10"/>
        <color rgb="FFFFFFFF"/>
        <rFont val="Malgun Gothic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중간</t>
    </r>
    <r>
      <rPr>
        <b val="true"/>
        <sz val="10"/>
        <color rgb="FFFFFFFF"/>
        <rFont val="Malgun Gothic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어깨 줄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</si>
  <si>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수치 기준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수치표 연동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</si>
  <si>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흔한 실패와 조치</t>
  </si>
  <si>
    <r>
      <rPr>
        <b val="true"/>
        <sz val="10"/>
        <rFont val="Malgun Gothic"/>
        <family val="0"/>
        <charset val="1"/>
      </rPr>
      <t xml:space="preserve">not_sitting
(</t>
    </r>
    <r>
      <rPr>
        <b val="true"/>
        <sz val="10"/>
        <rFont val="Noto Sans CJK SC"/>
        <family val="2"/>
      </rPr>
      <t xml:space="preserve">앉지 않음</t>
    </r>
    <r>
      <rPr>
        <b val="true"/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</si>
  <si>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의자에서 완전히 일어나 서 있으세요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손이나 가방도 방석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등받이에 닿지 않게 해 주세요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</si>
  <si>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모든 채널이 </t>
    </r>
    <r>
      <rPr>
        <sz val="10"/>
        <rFont val="Malgun Gothic"/>
        <family val="0"/>
        <charset val="1"/>
      </rPr>
      <t xml:space="preserve">0 </t>
    </r>
    <r>
      <rPr>
        <sz val="10"/>
        <rFont val="Noto Sans CJK SC"/>
        <family val="2"/>
      </rPr>
      <t xml:space="preserve">근처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관찰</t>
    </r>
    <r>
      <rPr>
        <sz val="10"/>
        <rFont val="Malgun Gothic"/>
        <family val="0"/>
        <charset val="1"/>
      </rPr>
      <t xml:space="preserve">: 2</t>
    </r>
    <r>
      <rPr>
        <sz val="10"/>
        <rFont val="Noto Sans CJK SC"/>
        <family val="2"/>
      </rPr>
      <t xml:space="preserve">개 파일 모두 총압력 </t>
    </r>
    <r>
      <rPr>
        <sz val="10"/>
        <rFont val="Malgun Gothic"/>
        <family val="0"/>
        <charset val="1"/>
      </rPr>
      <t xml:space="preserve">0.</t>
    </r>
  </si>
  <si>
    <r>
      <rPr>
        <sz val="10"/>
        <rFont val="Noto Sans CJK SC"/>
        <family val="2"/>
      </rPr>
      <t xml:space="preserve">방석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등받이에 값이 남아 있으면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영점이 틀어졌거나 물건이 올라가 있음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센서를 비운 상태에서 </t>
    </r>
    <r>
      <rPr>
        <sz val="10"/>
        <rFont val="Malgun Gothic"/>
        <family val="0"/>
        <charset val="1"/>
      </rPr>
      <t xml:space="preserve">baseline</t>
    </r>
    <r>
      <rPr>
        <sz val="10"/>
        <rFont val="Noto Sans CJK SC"/>
        <family val="2"/>
      </rPr>
      <t xml:space="preserve">을 다시 잡고 재측정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수집 직전에 일어났다가 앉는 동작 때문에 앞부분에 값이 남을 수 있으니 카운트다운 후에 시작</t>
    </r>
    <r>
      <rPr>
        <sz val="10"/>
        <rFont val="Malgun Gothic"/>
        <family val="0"/>
        <charset val="1"/>
      </rPr>
      <t xml:space="preserve">.</t>
    </r>
  </si>
  <si>
    <r>
      <rPr>
        <b val="true"/>
        <sz val="10"/>
        <rFont val="Malgun Gothic"/>
        <family val="0"/>
        <charset val="1"/>
      </rPr>
      <t xml:space="preserve">sitting_straight
(</t>
    </r>
    <r>
      <rPr>
        <b val="true"/>
        <sz val="10"/>
        <rFont val="Noto Sans CJK SC"/>
        <family val="2"/>
      </rPr>
      <t xml:space="preserve">정자세</t>
    </r>
    <r>
      <rPr>
        <b val="true"/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</si>
  <si>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엉덩이를 의자 안쪽까지 넣고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등을 등받이에 편하게 붙이세요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시선은 정면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양발은 바닥에 두세요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</si>
  <si>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좌우 균형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오른쪽 비율 </t>
    </r>
    <r>
      <rPr>
        <sz val="10"/>
        <rFont val="Malgun Gothic"/>
        <family val="0"/>
        <charset val="1"/>
      </rPr>
      <t xml:space="preserve">40~60%, </t>
    </r>
    <r>
      <rPr>
        <sz val="10"/>
        <rFont val="Noto Sans CJK SC"/>
        <family val="2"/>
      </rPr>
      <t xml:space="preserve">관찰 </t>
    </r>
    <r>
      <rPr>
        <sz val="10"/>
        <rFont val="Malgun Gothic"/>
        <family val="0"/>
        <charset val="1"/>
      </rPr>
      <t xml:space="preserve">45.2~55.5%). </t>
    </r>
    <r>
      <rPr>
        <sz val="10"/>
        <rFont val="Noto Sans CJK SC"/>
        <family val="2"/>
      </rPr>
      <t xml:space="preserve">엉덩이 줄 비중은 사람마다 달라 기준 없음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관찰 </t>
    </r>
    <r>
      <rPr>
        <sz val="10"/>
        <rFont val="Malgun Gothic"/>
        <family val="0"/>
        <charset val="1"/>
      </rPr>
      <t xml:space="preserve">32.7~51.3%).</t>
    </r>
  </si>
  <si>
    <r>
      <rPr>
        <sz val="10"/>
        <rFont val="Noto Sans CJK SC"/>
        <family val="2"/>
      </rPr>
      <t xml:space="preserve">허리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중간 줄에 접촉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관찰 총압력 </t>
    </r>
    <r>
      <rPr>
        <sz val="10"/>
        <rFont val="Malgun Gothic"/>
        <family val="0"/>
        <charset val="1"/>
      </rPr>
      <t xml:space="preserve">1,471~4,050). </t>
    </r>
    <r>
      <rPr>
        <sz val="10"/>
        <rFont val="Noto Sans CJK SC"/>
        <family val="2"/>
      </rPr>
      <t xml:space="preserve">어깨 줄은 사람에 따라 </t>
    </r>
    <r>
      <rPr>
        <sz val="10"/>
        <rFont val="Malgun Gothic"/>
        <family val="0"/>
        <charset val="1"/>
      </rPr>
      <t xml:space="preserve">0~23%</t>
    </r>
    <r>
      <rPr>
        <sz val="10"/>
        <rFont val="Noto Sans CJK SC"/>
        <family val="2"/>
      </rPr>
      <t xml:space="preserve">로 크게 달라 기준 없음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등받이 좌우 비율도 사람마다 달라</t>
    </r>
    <r>
      <rPr>
        <sz val="10"/>
        <rFont val="Malgun Gothic"/>
        <family val="0"/>
        <charset val="1"/>
      </rPr>
      <t xml:space="preserve">(44.7~100%) </t>
    </r>
    <r>
      <rPr>
        <sz val="10"/>
        <rFont val="Noto Sans CJK SC"/>
        <family val="2"/>
      </rPr>
      <t xml:space="preserve">기준 없음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</si>
  <si>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한쪽으로 기울어짐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방석 오른쪽 비율 범위 밖</t>
    </r>
    <r>
      <rPr>
        <sz val="10"/>
        <rFont val="Malgun Gothic"/>
        <family val="0"/>
        <charset val="1"/>
      </rPr>
      <t xml:space="preserve">) → </t>
    </r>
    <r>
      <rPr>
        <sz val="10"/>
        <rFont val="Noto Sans CJK SC"/>
        <family val="2"/>
      </rPr>
      <t xml:space="preserve">자세를 풀었다가 다시 앉아 재촬영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등받이 총압력이 낮음 → 등이 등받이에 닿지 않은 것이니 등을 더 붙이게 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그래도 같으면 매트 위치 확인</t>
    </r>
    <r>
      <rPr>
        <sz val="10"/>
        <rFont val="Malgun Gothic"/>
        <family val="0"/>
        <charset val="1"/>
      </rPr>
      <t xml:space="preserve">.</t>
    </r>
  </si>
  <si>
    <r>
      <rPr>
        <b val="true"/>
        <sz val="10"/>
        <rFont val="Malgun Gothic"/>
        <family val="0"/>
        <charset val="1"/>
      </rPr>
      <t xml:space="preserve">lean_forward
(</t>
    </r>
    <r>
      <rPr>
        <b val="true"/>
        <sz val="10"/>
        <rFont val="Noto Sans CJK SC"/>
        <family val="2"/>
      </rPr>
      <t xml:space="preserve">앞으로 숙이기</t>
    </r>
    <r>
      <rPr>
        <b val="true"/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</si>
  <si>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상체를 앞으로 숙여서 등이 등받이에서 완전히 떨어지게 하세요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엉덩이는 의자에 그대로 두세요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</si>
  <si>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엉덩이 줄 비중이 줄고 허벅지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무릎 비중이 늘어남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관찰 엉덩이 </t>
    </r>
    <r>
      <rPr>
        <sz val="10"/>
        <rFont val="Malgun Gothic"/>
        <family val="0"/>
        <charset val="1"/>
      </rPr>
      <t xml:space="preserve">18.2~29.5%, </t>
    </r>
    <r>
      <rPr>
        <sz val="10"/>
        <rFont val="Noto Sans CJK SC"/>
        <family val="2"/>
      </rPr>
      <t xml:space="preserve">정자세는 </t>
    </r>
    <r>
      <rPr>
        <sz val="10"/>
        <rFont val="Malgun Gothic"/>
        <family val="0"/>
        <charset val="1"/>
      </rPr>
      <t xml:space="preserve">32.7~51.3%). </t>
    </r>
    <r>
      <rPr>
        <sz val="10"/>
        <rFont val="Noto Sans CJK SC"/>
        <family val="2"/>
      </rPr>
      <t xml:space="preserve">좌우는 균형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관찰 </t>
    </r>
    <r>
      <rPr>
        <sz val="10"/>
        <rFont val="Malgun Gothic"/>
        <family val="0"/>
        <charset val="1"/>
      </rPr>
      <t xml:space="preserve">47.2~52.6%).</t>
    </r>
  </si>
  <si>
    <r>
      <rPr>
        <sz val="10"/>
        <rFont val="Noto Sans CJK SC"/>
        <family val="2"/>
      </rPr>
      <t xml:space="preserve">모든 채널 </t>
    </r>
    <r>
      <rPr>
        <sz val="10"/>
        <rFont val="Malgun Gothic"/>
        <family val="0"/>
        <charset val="1"/>
      </rPr>
      <t xml:space="preserve">0. </t>
    </r>
    <r>
      <rPr>
        <sz val="10"/>
        <rFont val="Noto Sans CJK SC"/>
        <family val="2"/>
      </rPr>
      <t xml:space="preserve">관찰</t>
    </r>
    <r>
      <rPr>
        <sz val="10"/>
        <rFont val="Malgun Gothic"/>
        <family val="0"/>
        <charset val="1"/>
      </rPr>
      <t xml:space="preserve">: 3</t>
    </r>
    <r>
      <rPr>
        <sz val="10"/>
        <rFont val="Noto Sans CJK SC"/>
        <family val="2"/>
      </rPr>
      <t xml:space="preserve">개 파일 모두 총압력 </t>
    </r>
    <r>
      <rPr>
        <sz val="10"/>
        <rFont val="Malgun Gothic"/>
        <family val="0"/>
        <charset val="1"/>
      </rPr>
      <t xml:space="preserve">0.</t>
    </r>
  </si>
  <si>
    <r>
      <rPr>
        <sz val="10"/>
        <rFont val="Noto Sans CJK SC"/>
        <family val="2"/>
      </rPr>
      <t xml:space="preserve">등받이 총압력이 </t>
    </r>
    <r>
      <rPr>
        <sz val="10"/>
        <rFont val="Malgun Gothic"/>
        <family val="0"/>
        <charset val="1"/>
      </rPr>
      <t xml:space="preserve">100</t>
    </r>
    <r>
      <rPr>
        <sz val="10"/>
        <rFont val="Noto Sans CJK SC"/>
        <family val="2"/>
      </rPr>
      <t xml:space="preserve">을 넘음 → 등이 닿은 것이니 더 숙이게 하고 재촬영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엉덩이 비중이 </t>
    </r>
    <r>
      <rPr>
        <sz val="10"/>
        <rFont val="Malgun Gothic"/>
        <family val="0"/>
        <charset val="1"/>
      </rPr>
      <t xml:space="preserve">32%</t>
    </r>
    <r>
      <rPr>
        <sz val="10"/>
        <rFont val="Noto Sans CJK SC"/>
        <family val="2"/>
      </rPr>
      <t xml:space="preserve">를 넘음 → 덜 숙인 것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정자세와 겹침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이니 재촬영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이 자세는 등받이 </t>
    </r>
    <r>
      <rPr>
        <sz val="10"/>
        <rFont val="Malgun Gothic"/>
        <family val="0"/>
        <charset val="1"/>
      </rPr>
      <t xml:space="preserve">0</t>
    </r>
    <r>
      <rPr>
        <sz val="10"/>
        <rFont val="Noto Sans CJK SC"/>
        <family val="2"/>
      </rPr>
      <t xml:space="preserve">이 핵심이라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정의 기반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기준입니다</t>
    </r>
    <r>
      <rPr>
        <sz val="10"/>
        <rFont val="Malgun Gothic"/>
        <family val="0"/>
        <charset val="1"/>
      </rPr>
      <t xml:space="preserve">.</t>
    </r>
  </si>
  <si>
    <r>
      <rPr>
        <b val="true"/>
        <sz val="10"/>
        <rFont val="Malgun Gothic"/>
        <family val="0"/>
        <charset val="1"/>
      </rPr>
      <t xml:space="preserve">cross_leg_right
(</t>
    </r>
    <r>
      <rPr>
        <b val="true"/>
        <sz val="10"/>
        <rFont val="Noto Sans CJK SC"/>
        <family val="2"/>
      </rPr>
      <t xml:space="preserve">오른다리 꼬기</t>
    </r>
    <r>
      <rPr>
        <b val="true"/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</si>
  <si>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오른다리를 왼다리 위로 꼬고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상체는 평소처럼 등받이에 기대세요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</si>
  <si>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오른쪽 비율이 낮아짐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관찰 </t>
    </r>
    <r>
      <rPr>
        <sz val="10"/>
        <rFont val="Malgun Gothic"/>
        <family val="0"/>
        <charset val="1"/>
      </rPr>
      <t xml:space="preserve">36.2~43.5%, 4</t>
    </r>
    <r>
      <rPr>
        <sz val="10"/>
        <rFont val="Noto Sans CJK SC"/>
        <family val="2"/>
      </rPr>
      <t xml:space="preserve">명 모두 </t>
    </r>
    <r>
      <rPr>
        <sz val="10"/>
        <rFont val="Malgun Gothic"/>
        <family val="0"/>
        <charset val="1"/>
      </rPr>
      <t xml:space="preserve">46% </t>
    </r>
    <r>
      <rPr>
        <sz val="10"/>
        <rFont val="Noto Sans CJK SC"/>
        <family val="2"/>
      </rPr>
      <t xml:space="preserve">이하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꼰 다리 쪽 엉덩이 하중이 줄어드는 것으로 보임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뒤집은 방석 기준이므로 반대로 나오면 방석 좌우를 다시 확인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</si>
  <si>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등받이 접촉 유지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관찰 총압력 </t>
    </r>
    <r>
      <rPr>
        <sz val="10"/>
        <rFont val="Malgun Gothic"/>
        <family val="0"/>
        <charset val="1"/>
      </rPr>
      <t xml:space="preserve">1,855~4,179). </t>
    </r>
    <r>
      <rPr>
        <sz val="10"/>
        <rFont val="Noto Sans CJK SC"/>
        <family val="2"/>
      </rPr>
      <t xml:space="preserve">등받이 좌우 비율은 사람마다 달라</t>
    </r>
    <r>
      <rPr>
        <sz val="10"/>
        <rFont val="Malgun Gothic"/>
        <family val="0"/>
        <charset val="1"/>
      </rPr>
      <t xml:space="preserve">(23.6~58.8%) </t>
    </r>
    <r>
      <rPr>
        <sz val="10"/>
        <rFont val="Noto Sans CJK SC"/>
        <family val="2"/>
      </rPr>
      <t xml:space="preserve">기준 없음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</si>
  <si>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오른쪽 비율이 </t>
    </r>
    <r>
      <rPr>
        <sz val="10"/>
        <rFont val="Malgun Gothic"/>
        <family val="0"/>
        <charset val="1"/>
      </rPr>
      <t xml:space="preserve">46%</t>
    </r>
    <r>
      <rPr>
        <sz val="10"/>
        <rFont val="Noto Sans CJK SC"/>
        <family val="2"/>
      </rPr>
      <t xml:space="preserve">를 넘음 → 꼬기가 약한 것이니 다리를 확실히 꼬게 하고 재촬영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오른다리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왼다리가 뒤바뀐 파일이 아닌지 확인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왼다리 꼬기 파일이 이 쪽에 들어갔는지</t>
    </r>
    <r>
      <rPr>
        <sz val="10"/>
        <rFont val="Malgun Gothic"/>
        <family val="0"/>
        <charset val="1"/>
      </rPr>
      <t xml:space="preserve">).</t>
    </r>
  </si>
  <si>
    <r>
      <rPr>
        <b val="true"/>
        <sz val="10"/>
        <rFont val="Malgun Gothic"/>
        <family val="0"/>
        <charset val="1"/>
      </rPr>
      <t xml:space="preserve">cross_leg_left
(</t>
    </r>
    <r>
      <rPr>
        <b val="true"/>
        <sz val="10"/>
        <rFont val="Noto Sans CJK SC"/>
        <family val="2"/>
      </rPr>
      <t xml:space="preserve">왼다리 꼬기</t>
    </r>
    <r>
      <rPr>
        <b val="true"/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</si>
  <si>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왼다리를 오른다리 위로 꼬고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상체는 평소처럼 등받이에 기대세요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</si>
  <si>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오른쪽 비율이 높아짐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관찰 </t>
    </r>
    <r>
      <rPr>
        <sz val="10"/>
        <rFont val="Malgun Gothic"/>
        <family val="0"/>
        <charset val="1"/>
      </rPr>
      <t xml:space="preserve">62.9~66.7%, 4</t>
    </r>
    <r>
      <rPr>
        <sz val="10"/>
        <rFont val="Noto Sans CJK SC"/>
        <family val="2"/>
      </rPr>
      <t xml:space="preserve">명 모두 </t>
    </r>
    <r>
      <rPr>
        <sz val="10"/>
        <rFont val="Malgun Gothic"/>
        <family val="0"/>
        <charset val="1"/>
      </rPr>
      <t xml:space="preserve">60% </t>
    </r>
    <r>
      <rPr>
        <sz val="10"/>
        <rFont val="Noto Sans CJK SC"/>
        <family val="2"/>
      </rPr>
      <t xml:space="preserve">이상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오른다리 꼬기의 거울상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</si>
  <si>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등받이 접촉 유지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관찰 총압력 </t>
    </r>
    <r>
      <rPr>
        <sz val="10"/>
        <rFont val="Malgun Gothic"/>
        <family val="0"/>
        <charset val="1"/>
      </rPr>
      <t xml:space="preserve">1,680~2,820). </t>
    </r>
    <r>
      <rPr>
        <sz val="10"/>
        <rFont val="Noto Sans CJK SC"/>
        <family val="2"/>
      </rPr>
      <t xml:space="preserve">등받이 좌우 비율은 사람마다 달라</t>
    </r>
    <r>
      <rPr>
        <sz val="10"/>
        <rFont val="Malgun Gothic"/>
        <family val="0"/>
        <charset val="1"/>
      </rPr>
      <t xml:space="preserve">(0~78.2%) </t>
    </r>
    <r>
      <rPr>
        <sz val="10"/>
        <rFont val="Noto Sans CJK SC"/>
        <family val="2"/>
      </rPr>
      <t xml:space="preserve">기준 없음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</si>
  <si>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오른쪽 비율이 </t>
    </r>
    <r>
      <rPr>
        <sz val="10"/>
        <rFont val="Malgun Gothic"/>
        <family val="0"/>
        <charset val="1"/>
      </rPr>
      <t xml:space="preserve">60% </t>
    </r>
    <r>
      <rPr>
        <sz val="10"/>
        <rFont val="Noto Sans CJK SC"/>
        <family val="2"/>
      </rPr>
      <t xml:space="preserve">미만 → 꼬기가 약하거나 왼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오른 파일이 뒤바뀐 것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확인 후 재촬영</t>
    </r>
    <r>
      <rPr>
        <sz val="10"/>
        <rFont val="Malgun Gothic"/>
        <family val="0"/>
        <charset val="1"/>
      </rPr>
      <t xml:space="preserve">.</t>
    </r>
  </si>
  <si>
    <r>
      <rPr>
        <b val="true"/>
        <sz val="10"/>
        <rFont val="Malgun Gothic"/>
        <family val="0"/>
        <charset val="1"/>
      </rPr>
      <t xml:space="preserve">lean_right
(</t>
    </r>
    <r>
      <rPr>
        <b val="true"/>
        <sz val="10"/>
        <rFont val="Noto Sans CJK SC"/>
        <family val="2"/>
      </rPr>
      <t xml:space="preserve">오른쪽 기대기</t>
    </r>
    <r>
      <rPr>
        <b val="true"/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</si>
  <si>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상체를 오른쪽 팔걸이 쪽으로 기대세요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몸 전체가 오른쪽으로 쏠리게 해 주세요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</si>
  <si>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오른쪽 비율 증가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관찰 </t>
    </r>
    <r>
      <rPr>
        <sz val="10"/>
        <rFont val="Malgun Gothic"/>
        <family val="0"/>
        <charset val="1"/>
      </rPr>
      <t xml:space="preserve">56.2~69.3%, </t>
    </r>
    <r>
      <rPr>
        <sz val="10"/>
        <rFont val="Noto Sans CJK SC"/>
        <family val="2"/>
      </rPr>
      <t xml:space="preserve">하한 </t>
    </r>
    <r>
      <rPr>
        <sz val="10"/>
        <rFont val="Malgun Gothic"/>
        <family val="0"/>
        <charset val="1"/>
      </rPr>
      <t xml:space="preserve">52%). </t>
    </r>
    <r>
      <rPr>
        <sz val="10"/>
        <rFont val="Noto Sans CJK SC"/>
        <family val="2"/>
      </rPr>
      <t xml:space="preserve">사람에 따라 약할 수 있음</t>
    </r>
    <r>
      <rPr>
        <sz val="10"/>
        <rFont val="Malgun Gothic"/>
        <family val="0"/>
        <charset val="1"/>
      </rPr>
      <t xml:space="preserve">(yewon 56.2%).</t>
    </r>
  </si>
  <si>
    <r>
      <rPr>
        <sz val="10"/>
        <rFont val="Noto Sans CJK SC"/>
        <family val="2"/>
      </rPr>
      <t xml:space="preserve">등받이 오른쪽에 쏠림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오른쪽 비율 </t>
    </r>
    <r>
      <rPr>
        <sz val="10"/>
        <rFont val="Malgun Gothic"/>
        <family val="0"/>
        <charset val="1"/>
      </rPr>
      <t xml:space="preserve">80% </t>
    </r>
    <r>
      <rPr>
        <sz val="10"/>
        <rFont val="Noto Sans CJK SC"/>
        <family val="2"/>
      </rPr>
      <t xml:space="preserve">이상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관찰 </t>
    </r>
    <r>
      <rPr>
        <sz val="10"/>
        <rFont val="Malgun Gothic"/>
        <family val="0"/>
        <charset val="1"/>
      </rPr>
      <t xml:space="preserve">90.1~100%). </t>
    </r>
    <r>
      <rPr>
        <sz val="10"/>
        <rFont val="Noto Sans CJK SC"/>
        <family val="2"/>
      </rPr>
      <t xml:space="preserve">이 지표가 방석보다 훨씬 뚜렷해서 핵심 기준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</si>
  <si>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등받이 오른쪽 비율이 </t>
    </r>
    <r>
      <rPr>
        <sz val="10"/>
        <rFont val="Malgun Gothic"/>
        <family val="0"/>
        <charset val="1"/>
      </rPr>
      <t xml:space="preserve">80% </t>
    </r>
    <r>
      <rPr>
        <sz val="10"/>
        <rFont val="Noto Sans CJK SC"/>
        <family val="2"/>
      </rPr>
      <t xml:space="preserve">미만 → 덜 기댄 것이니 재촬영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왼쪽으로 나오면 왼쪽 기대기와 바뀐 파일이거나 등받이 좌우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뒤집은 방향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설정 문제</t>
    </r>
    <r>
      <rPr>
        <sz val="10"/>
        <rFont val="Malgun Gothic"/>
        <family val="0"/>
        <charset val="1"/>
      </rPr>
      <t xml:space="preserve">.</t>
    </r>
  </si>
  <si>
    <r>
      <rPr>
        <b val="true"/>
        <sz val="10"/>
        <rFont val="Malgun Gothic"/>
        <family val="0"/>
        <charset val="1"/>
      </rPr>
      <t xml:space="preserve">lean_left
(</t>
    </r>
    <r>
      <rPr>
        <b val="true"/>
        <sz val="10"/>
        <rFont val="Noto Sans CJK SC"/>
        <family val="2"/>
      </rPr>
      <t xml:space="preserve">왼쪽 기대기</t>
    </r>
    <r>
      <rPr>
        <b val="true"/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</si>
  <si>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상체를 왼쪽 팔걸이 쪽으로 기대세요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몸 전체가 왼쪽으로 쏠리게 해 주세요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</si>
  <si>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방석에는 뚜렷한 쏠림이 없음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관찰 오른쪽 비율 </t>
    </r>
    <r>
      <rPr>
        <sz val="10"/>
        <rFont val="Malgun Gothic"/>
        <family val="0"/>
        <charset val="1"/>
      </rPr>
      <t xml:space="preserve">44.4~55.0%) → </t>
    </r>
    <r>
      <rPr>
        <sz val="10"/>
        <rFont val="Noto Sans CJK SC"/>
        <family val="2"/>
      </rPr>
      <t xml:space="preserve">방석 좌우 기준을 두지 않음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오른쪽 기대기와 달리 방석만으로는 구분이 어렵다는 뜻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</si>
  <si>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등받이 왼쪽에 쏠림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오른쪽 비율 </t>
    </r>
    <r>
      <rPr>
        <sz val="10"/>
        <rFont val="Malgun Gothic"/>
        <family val="0"/>
        <charset val="1"/>
      </rPr>
      <t xml:space="preserve">20% </t>
    </r>
    <r>
      <rPr>
        <sz val="10"/>
        <rFont val="Noto Sans CJK SC"/>
        <family val="2"/>
      </rPr>
      <t xml:space="preserve">이하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관찰 </t>
    </r>
    <r>
      <rPr>
        <sz val="10"/>
        <rFont val="Malgun Gothic"/>
        <family val="0"/>
        <charset val="1"/>
      </rPr>
      <t xml:space="preserve">0~10.8%). </t>
    </r>
    <r>
      <rPr>
        <sz val="10"/>
        <rFont val="Noto Sans CJK SC"/>
        <family val="2"/>
      </rPr>
      <t xml:space="preserve">핵심 기준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</si>
  <si>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등받이 오른쪽 비율이 </t>
    </r>
    <r>
      <rPr>
        <sz val="10"/>
        <rFont val="Malgun Gothic"/>
        <family val="0"/>
        <charset val="1"/>
      </rPr>
      <t xml:space="preserve">20%</t>
    </r>
    <r>
      <rPr>
        <sz val="10"/>
        <rFont val="Noto Sans CJK SC"/>
        <family val="2"/>
      </rPr>
      <t xml:space="preserve">를 넘음 → 덜 기댄 것이니 재촬영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방석이 균형이어도 불합격 사유가 아님</t>
    </r>
    <r>
      <rPr>
        <sz val="10"/>
        <rFont val="Malgun Gothic"/>
        <family val="0"/>
        <charset val="1"/>
      </rPr>
      <t xml:space="preserve">.</t>
    </r>
  </si>
  <si>
    <r>
      <rPr>
        <b val="true"/>
        <sz val="10"/>
        <rFont val="Malgun Gothic"/>
        <family val="0"/>
        <charset val="1"/>
      </rPr>
      <t xml:space="preserve">turtle_neck
(</t>
    </r>
    <r>
      <rPr>
        <b val="true"/>
        <sz val="10"/>
        <rFont val="Noto Sans CJK SC"/>
        <family val="2"/>
      </rPr>
      <t xml:space="preserve">거북목</t>
    </r>
    <r>
      <rPr>
        <b val="true"/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</si>
  <si>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등은 등받이에 댄 채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어깨 부분은 등받이에서 띄우세요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그 상태에서 머리와 목을 앞으로 내미세요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</si>
  <si>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정자세와 비슷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오른쪽 비율 </t>
    </r>
    <r>
      <rPr>
        <sz val="10"/>
        <rFont val="Malgun Gothic"/>
        <family val="0"/>
        <charset val="1"/>
      </rPr>
      <t xml:space="preserve">40~60%, </t>
    </r>
    <r>
      <rPr>
        <sz val="10"/>
        <rFont val="Noto Sans CJK SC"/>
        <family val="2"/>
      </rPr>
      <t xml:space="preserve">관찰 </t>
    </r>
    <r>
      <rPr>
        <sz val="10"/>
        <rFont val="Malgun Gothic"/>
        <family val="0"/>
        <charset val="1"/>
      </rPr>
      <t xml:space="preserve">50.3~55.7%). </t>
    </r>
    <r>
      <rPr>
        <sz val="10"/>
        <rFont val="Noto Sans CJK SC"/>
        <family val="2"/>
      </rPr>
      <t xml:space="preserve">엉덩이 비중은 정자세와 겹쳐 기준 없음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</si>
  <si>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허리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중간 줄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은 닿고 어깨 줄은 거의 </t>
    </r>
    <r>
      <rPr>
        <sz val="10"/>
        <rFont val="Malgun Gothic"/>
        <family val="0"/>
        <charset val="1"/>
      </rPr>
      <t xml:space="preserve">0(</t>
    </r>
    <r>
      <rPr>
        <sz val="10"/>
        <rFont val="Noto Sans CJK SC"/>
        <family val="2"/>
      </rPr>
      <t xml:space="preserve">관찰 어깨 줄 </t>
    </r>
    <r>
      <rPr>
        <sz val="10"/>
        <rFont val="Malgun Gothic"/>
        <family val="0"/>
        <charset val="1"/>
      </rPr>
      <t xml:space="preserve">0~0.4%, </t>
    </r>
    <r>
      <rPr>
        <sz val="10"/>
        <rFont val="Noto Sans CJK SC"/>
        <family val="2"/>
      </rPr>
      <t xml:space="preserve">기준 </t>
    </r>
    <r>
      <rPr>
        <sz val="10"/>
        <rFont val="Malgun Gothic"/>
        <family val="0"/>
        <charset val="1"/>
      </rPr>
      <t xml:space="preserve">3% </t>
    </r>
    <r>
      <rPr>
        <sz val="10"/>
        <rFont val="Noto Sans CJK SC"/>
        <family val="2"/>
      </rPr>
      <t xml:space="preserve">이하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등 접촉은 정자세보다 약해짐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같은 사람 정자세 대비 관찰 </t>
    </r>
    <r>
      <rPr>
        <sz val="10"/>
        <rFont val="Malgun Gothic"/>
        <family val="0"/>
        <charset val="1"/>
      </rPr>
      <t xml:space="preserve">0.5~72%).</t>
    </r>
  </si>
  <si>
    <r>
      <rPr>
        <sz val="10"/>
        <rFont val="Noto Sans CJK SC"/>
        <family val="2"/>
      </rPr>
      <t xml:space="preserve">등받이 총압력이 </t>
    </r>
    <r>
      <rPr>
        <sz val="10"/>
        <rFont val="Malgun Gothic"/>
        <family val="0"/>
        <charset val="1"/>
      </rPr>
      <t xml:space="preserve">400 </t>
    </r>
    <r>
      <rPr>
        <sz val="10"/>
        <rFont val="Noto Sans CJK SC"/>
        <family val="2"/>
      </rPr>
      <t xml:space="preserve">미만 → 등이 등받이에 닿지 않은 것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앞으로 숙이기와 구분 안 됨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관찰</t>
    </r>
    <r>
      <rPr>
        <sz val="10"/>
        <rFont val="Malgun Gothic"/>
        <family val="0"/>
        <charset val="1"/>
      </rPr>
      <t xml:space="preserve">: aro 236, junseo 7</t>
    </r>
    <r>
      <rPr>
        <sz val="10"/>
        <rFont val="Noto Sans CJK SC"/>
        <family val="2"/>
      </rPr>
      <t xml:space="preserve">이 여기에 해당 → 재촬영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어깨 줄이 </t>
    </r>
    <r>
      <rPr>
        <sz val="10"/>
        <rFont val="Malgun Gothic"/>
        <family val="0"/>
        <charset val="1"/>
      </rPr>
      <t xml:space="preserve">3%</t>
    </r>
    <r>
      <rPr>
        <sz val="10"/>
        <rFont val="Noto Sans CJK SC"/>
        <family val="2"/>
      </rPr>
      <t xml:space="preserve">를 넘으면 어깨가 닿은 것이니 어깨를 더 띄우게 하고 재촬영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정자세도 어깨 줄이 </t>
    </r>
    <r>
      <rPr>
        <sz val="10"/>
        <rFont val="Malgun Gothic"/>
        <family val="0"/>
        <charset val="1"/>
      </rPr>
      <t xml:space="preserve">0</t>
    </r>
    <r>
      <rPr>
        <sz val="10"/>
        <rFont val="Noto Sans CJK SC"/>
        <family val="2"/>
      </rPr>
      <t xml:space="preserve">인 사람이 많아 어깨 줄 하나로는 정자세와 안 갈리니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같은 사람의 정자세 파일과 함께 비교</t>
    </r>
    <r>
      <rPr>
        <sz val="10"/>
        <rFont val="Malgun Gothic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</si>
  <si>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공통 품질 기준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모든 자세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모든 파일</t>
    </r>
    <r>
      <rPr>
        <b val="true"/>
        <sz val="10"/>
        <rFont val="Malgun Gothic"/>
        <family val="0"/>
        <charset val="1"/>
      </rPr>
      <t xml:space="preserve">)</t>
    </r>
  </si>
  <si>
    <t xml:space="preserve">항목</t>
  </si>
  <si>
    <r>
      <rPr>
        <b val="true"/>
        <sz val="10"/>
        <color rgb="FFFFFFFF"/>
        <rFont val="Noto Sans CJK SC"/>
        <family val="2"/>
      </rPr>
      <t xml:space="preserve">기준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수치표 연동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</si>
  <si>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이유</t>
  </si>
  <si>
    <t xml:space="preserve">확인 방법</t>
  </si>
  <si>
    <t xml:space="preserve">수집 길이</t>
  </si>
  <si>
    <r>
      <rPr>
        <sz val="10"/>
        <rFont val="Noto Sans CJK SC"/>
        <family val="2"/>
      </rPr>
      <t xml:space="preserve">자세당 </t>
    </r>
    <r>
      <rPr>
        <sz val="10"/>
        <rFont val="Malgun Gothic"/>
        <family val="0"/>
        <charset val="1"/>
      </rPr>
      <t xml:space="preserve">20</t>
    </r>
    <r>
      <rPr>
        <sz val="10"/>
        <rFont val="Noto Sans CJK SC"/>
        <family val="2"/>
      </rPr>
      <t xml:space="preserve">초 수집이 기본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짧거나 프레임이 적으면 수신이 끊긴 것</t>
    </r>
  </si>
  <si>
    <r>
      <rPr>
        <sz val="10"/>
        <rFont val="Noto Sans CJK SC"/>
        <family val="2"/>
      </rPr>
      <t xml:space="preserve">수집 현황의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품질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열</t>
    </r>
  </si>
  <si>
    <t xml:space="preserve">수신 속도</t>
  </si>
  <si>
    <r>
      <rPr>
        <sz val="10"/>
        <rFont val="Noto Sans CJK SC"/>
        <family val="2"/>
      </rPr>
      <t xml:space="preserve">두 보드 동시 수집이 정상이면 일정하게 나옴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관찰 </t>
    </r>
    <r>
      <rPr>
        <sz val="10"/>
        <rFont val="Malgun Gothic"/>
        <family val="0"/>
        <charset val="1"/>
      </rPr>
      <t xml:space="preserve">62.3)</t>
    </r>
  </si>
  <si>
    <t xml:space="preserve">자세 중 움직임</t>
  </si>
  <si>
    <r>
      <rPr>
        <sz val="10"/>
        <rFont val="Noto Sans CJK SC"/>
        <family val="2"/>
      </rPr>
      <t xml:space="preserve">자세를 유지하지 못하면 라벨이 섞임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관찰 </t>
    </r>
    <r>
      <rPr>
        <sz val="10"/>
        <rFont val="Malgun Gothic"/>
        <family val="0"/>
        <charset val="1"/>
      </rPr>
      <t xml:space="preserve">0.2~17.6, aro 2</t>
    </r>
    <r>
      <rPr>
        <sz val="10"/>
        <rFont val="Noto Sans CJK SC"/>
        <family val="2"/>
      </rPr>
      <t xml:space="preserve">개 파일</t>
    </r>
    <r>
      <rPr>
        <sz val="10"/>
        <rFont val="Malgun Gothic"/>
        <family val="0"/>
        <charset val="1"/>
      </rPr>
      <t xml:space="preserve">(lean_right 16.4, turtle_neck 17.6)</t>
    </r>
    <r>
      <rPr>
        <sz val="10"/>
        <rFont val="Noto Sans CJK SC"/>
        <family val="2"/>
      </rPr>
      <t xml:space="preserve">이 초과</t>
    </r>
  </si>
  <si>
    <r>
      <rPr>
        <sz val="10"/>
        <rFont val="Noto Sans CJK SC"/>
        <family val="2"/>
      </rPr>
      <t xml:space="preserve">수집 현황의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방석 흔들림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열</t>
    </r>
  </si>
  <si>
    <t xml:space="preserve">센서 포화</t>
  </si>
  <si>
    <r>
      <rPr>
        <sz val="10"/>
        <rFont val="Noto Sans CJK SC"/>
        <family val="2"/>
      </rPr>
      <t xml:space="preserve">최댓값에 붙으면 압력 차이가 사라짐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체격이 큰 참가자에서 확인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</si>
  <si>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수집 현황의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포화 비율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열</t>
    </r>
  </si>
  <si>
    <t xml:space="preserve">빈 의자 판단</t>
  </si>
  <si>
    <t xml:space="preserve">앉지 않음 파일은 움직임 검사에서 제외하기 위한 기준</t>
  </si>
  <si>
    <t xml:space="preserve">수치표 하단</t>
  </si>
  <si>
    <r>
      <rPr>
        <b val="true"/>
        <sz val="10"/>
        <rFont val="Noto Sans CJK SC"/>
        <family val="2"/>
      </rPr>
      <t xml:space="preserve">참가자 단위 기준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사람마다</t>
    </r>
    <r>
      <rPr>
        <b val="true"/>
        <sz val="10"/>
        <rFont val="Malgun Gothic"/>
        <family val="0"/>
        <charset val="1"/>
      </rPr>
      <t xml:space="preserve">)</t>
    </r>
  </si>
  <si>
    <t xml:space="preserve">기준</t>
  </si>
  <si>
    <t xml:space="preserve">자세 종류</t>
  </si>
  <si>
    <r>
      <rPr>
        <sz val="10"/>
        <rFont val="Malgun Gothic"/>
        <family val="0"/>
        <charset val="1"/>
      </rPr>
      <t xml:space="preserve">8</t>
    </r>
    <r>
      <rPr>
        <sz val="10"/>
        <rFont val="Noto Sans CJK SC"/>
        <family val="2"/>
      </rPr>
      <t xml:space="preserve">자세 모두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자세당 목표 회차 이상 합격 파일</t>
    </r>
  </si>
  <si>
    <r>
      <rPr>
        <sz val="10"/>
        <rFont val="Noto Sans CJK SC"/>
        <family val="2"/>
      </rPr>
      <t xml:space="preserve">한 자세라도 없으면 그 사람의 데이터를 학습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평가에 쓰기 어려움 </t>
    </r>
    <r>
      <rPr>
        <sz val="10"/>
        <rFont val="Malgun Gothic"/>
        <family val="0"/>
        <charset val="1"/>
      </rPr>
      <t xml:space="preserve">('</t>
    </r>
    <r>
      <rPr>
        <sz val="10"/>
        <rFont val="Noto Sans CJK SC"/>
        <family val="2"/>
      </rPr>
      <t xml:space="preserve">자세 수집 현황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  <r>
      <rPr>
        <sz val="10"/>
        <rFont val="Malgun Gothic"/>
        <family val="0"/>
        <charset val="1"/>
      </rPr>
      <t xml:space="preserve">)</t>
    </r>
  </si>
  <si>
    <t xml:space="preserve">자세 순서</t>
  </si>
  <si>
    <t xml:space="preserve">참가자마다 순서를 섞어서 수집</t>
  </si>
  <si>
    <r>
      <rPr>
        <sz val="10"/>
        <rFont val="Noto Sans CJK SC"/>
        <family val="2"/>
      </rPr>
      <t xml:space="preserve">순서 효과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앞 자세의 피로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자세 습관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가 특정 자세에 몰리지 않게</t>
    </r>
  </si>
  <si>
    <t xml:space="preserve">자세 사이</t>
  </si>
  <si>
    <t xml:space="preserve">자세마다 일어났다가 다시 앉고 카운트다운 후 시작</t>
  </si>
  <si>
    <t xml:space="preserve">앞 자세의 압력 흔적과 앉는 위치 고정을 없애기 위해</t>
  </si>
  <si>
    <t xml:space="preserve">의자 조건</t>
  </si>
  <si>
    <r>
      <rPr>
        <sz val="10"/>
        <rFont val="Noto Sans CJK SC"/>
        <family val="2"/>
      </rPr>
      <t xml:space="preserve">의자 높이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등받이 각도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매트 위치를 참가자 간 같게 유지하고 기록</t>
    </r>
  </si>
  <si>
    <r>
      <rPr>
        <sz val="10"/>
        <rFont val="Noto Sans CJK SC"/>
        <family val="2"/>
      </rPr>
      <t xml:space="preserve">참가자 차이와 설치 차이를 섞지 않기 위해 </t>
    </r>
    <r>
      <rPr>
        <sz val="10"/>
        <rFont val="Malgun Gothic"/>
        <family val="0"/>
        <charset val="1"/>
      </rPr>
      <t xml:space="preserve">(E15</t>
    </r>
    <r>
      <rPr>
        <sz val="10"/>
        <rFont val="Noto Sans CJK SC"/>
        <family val="2"/>
      </rPr>
      <t xml:space="preserve">는 일부러 바꾸는 케이스</t>
    </r>
    <r>
      <rPr>
        <sz val="10"/>
        <rFont val="Malgun Gothic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</si>
  <si>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옷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소지품</t>
    </r>
  </si>
  <si>
    <r>
      <rPr>
        <sz val="10"/>
        <rFont val="Noto Sans CJK SC"/>
        <family val="2"/>
      </rPr>
      <t xml:space="preserve">겉옷 두께와 뒷주머니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가방 여부를 기록</t>
    </r>
  </si>
  <si>
    <r>
      <rPr>
        <sz val="10"/>
        <rFont val="Noto Sans CJK SC"/>
        <family val="2"/>
      </rPr>
      <t xml:space="preserve">등받이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방석 압력을 바꾸는 요인 </t>
    </r>
    <r>
      <rPr>
        <sz val="10"/>
        <rFont val="Malgun Gothic"/>
        <family val="0"/>
        <charset val="1"/>
      </rPr>
      <t xml:space="preserve">(E13</t>
    </r>
    <r>
      <rPr>
        <sz val="10"/>
        <rFont val="Noto Sans CJK SC"/>
        <family val="2"/>
      </rPr>
      <t xml:space="preserve">에서 일부러 비교</t>
    </r>
    <r>
      <rPr>
        <sz val="10"/>
        <rFont val="Malgun Gothic"/>
        <family val="0"/>
        <charset val="1"/>
      </rPr>
      <t xml:space="preserve">)</t>
    </r>
  </si>
  <si>
    <t xml:space="preserve">좌우 확인</t>
  </si>
  <si>
    <r>
      <rPr>
        <sz val="10"/>
        <rFont val="Noto Sans CJK SC"/>
        <family val="2"/>
      </rPr>
      <t xml:space="preserve">수집 첫날 탭 테스트로 방석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등받이 좌우와 어깨 줄 위치를 확인</t>
    </r>
  </si>
  <si>
    <t xml:space="preserve">매트를 뒤집었기 때문에 번호와 좌우의 대응을 데이터와 맞춰야 함</t>
  </si>
  <si>
    <t xml:space="preserve">파일 이름</t>
  </si>
  <si>
    <r>
      <rPr>
        <sz val="10"/>
        <rFont val="Malgun Gothic"/>
        <family val="0"/>
        <charset val="1"/>
      </rPr>
      <t xml:space="preserve">person</t>
    </r>
    <r>
      <rPr>
        <sz val="10"/>
        <rFont val="Noto Sans CJK SC"/>
        <family val="2"/>
      </rPr>
      <t xml:space="preserve">은 영문 소문자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같은 사람은 항상 같은 이름</t>
    </r>
  </si>
  <si>
    <t xml:space="preserve">학습 때 사람 단위로 나누려면 이름이 일관돼야 함</t>
  </si>
  <si>
    <t xml:space="preserve">불합격 파일</t>
  </si>
  <si>
    <r>
      <rPr>
        <sz val="10"/>
        <rFont val="Noto Sans CJK SC"/>
        <family val="2"/>
      </rPr>
      <t xml:space="preserve">삭제하지 말고 파일명에 </t>
    </r>
    <r>
      <rPr>
        <sz val="10"/>
        <rFont val="Malgun Gothic"/>
        <family val="0"/>
        <charset val="1"/>
      </rPr>
      <t xml:space="preserve">_reject</t>
    </r>
    <r>
      <rPr>
        <sz val="10"/>
        <rFont val="Noto Sans CJK SC"/>
        <family val="2"/>
      </rPr>
      <t xml:space="preserve">를 붙여 따로 보관</t>
    </r>
  </si>
  <si>
    <r>
      <rPr>
        <sz val="10"/>
        <rFont val="Noto Sans CJK SC"/>
        <family val="2"/>
      </rPr>
      <t xml:space="preserve">변환 스크립트가 </t>
    </r>
    <r>
      <rPr>
        <sz val="10"/>
        <rFont val="Malgun Gothic"/>
        <family val="0"/>
        <charset val="1"/>
      </rPr>
      <t xml:space="preserve">_reject </t>
    </r>
    <r>
      <rPr>
        <sz val="10"/>
        <rFont val="Noto Sans CJK SC"/>
        <family val="2"/>
      </rPr>
      <t xml:space="preserve">파일을 건너뛰고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나중에 기준을 바꿔 다시 볼 수 있음</t>
    </r>
  </si>
  <si>
    <t xml:space="preserve">평가 방식</t>
  </si>
  <si>
    <r>
      <rPr>
        <sz val="10"/>
        <rFont val="Noto Sans CJK SC"/>
        <family val="2"/>
      </rPr>
      <t xml:space="preserve">학습은 일부 사람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평가는 다른 사람으로 분리 </t>
    </r>
    <r>
      <rPr>
        <sz val="10"/>
        <rFont val="Malgun Gothic"/>
        <family val="0"/>
        <charset val="1"/>
      </rPr>
      <t xml:space="preserve">(--holdout-persons)</t>
    </r>
  </si>
  <si>
    <t xml:space="preserve">같은 사람의 프레임이 학습과 평가에 섞이면 점수가 부풀려짐</t>
  </si>
  <si>
    <t xml:space="preserve">자세별 합격 기준 — 수치표</t>
  </si>
  <si>
    <r>
      <rPr>
        <sz val="10"/>
        <color rgb="FF595959"/>
        <rFont val="Malgun Gothic"/>
        <family val="0"/>
        <charset val="1"/>
      </rPr>
      <t xml:space="preserve">'</t>
    </r>
    <r>
      <rPr>
        <sz val="10"/>
        <color rgb="FF595959"/>
        <rFont val="Noto Sans CJK SC"/>
        <family val="2"/>
      </rPr>
      <t xml:space="preserve">수집 현황</t>
    </r>
    <r>
      <rPr>
        <sz val="10"/>
        <color rgb="FF595959"/>
        <rFont val="Malgun Gothic"/>
        <family val="0"/>
        <charset val="1"/>
      </rPr>
      <t xml:space="preserve">' </t>
    </r>
    <r>
      <rPr>
        <sz val="10"/>
        <color rgb="FF595959"/>
        <rFont val="Noto Sans CJK SC"/>
        <family val="2"/>
      </rPr>
      <t xml:space="preserve">시트의 합격</t>
    </r>
    <r>
      <rPr>
        <sz val="10"/>
        <color rgb="FF595959"/>
        <rFont val="Malgun Gothic"/>
        <family val="0"/>
        <charset val="1"/>
      </rPr>
      <t xml:space="preserve">/</t>
    </r>
    <r>
      <rPr>
        <sz val="10"/>
        <color rgb="FF595959"/>
        <rFont val="Noto Sans CJK SC"/>
        <family val="2"/>
      </rPr>
      <t xml:space="preserve">불합격 판정이 이 표를 읽습니다</t>
    </r>
    <r>
      <rPr>
        <sz val="10"/>
        <color rgb="FF595959"/>
        <rFont val="Malgun Gothic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파란 숫자를 바꾸면 판정이 바로 바뀝니다</t>
    </r>
    <r>
      <rPr>
        <sz val="10"/>
        <color rgb="FF595959"/>
        <rFont val="Malgun Gothic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빈칸 </t>
    </r>
    <r>
      <rPr>
        <sz val="10"/>
        <color rgb="FF595959"/>
        <rFont val="Malgun Gothic"/>
        <family val="0"/>
        <charset val="1"/>
      </rPr>
      <t xml:space="preserve">= </t>
    </r>
    <r>
      <rPr>
        <sz val="10"/>
        <color rgb="FF595959"/>
        <rFont val="Noto Sans CJK SC"/>
        <family val="2"/>
      </rPr>
      <t xml:space="preserve">그 지표는 이 자세의 기준이 아님</t>
    </r>
    <r>
      <rPr>
        <sz val="10"/>
        <color rgb="FF595959"/>
        <rFont val="Malgun Gothic"/>
        <family val="0"/>
        <charset val="1"/>
      </rPr>
      <t xml:space="preserve">.</t>
    </r>
  </si>
  <si>
    <r>
      <rPr>
        <sz val="10"/>
        <color rgb="FF595959"/>
        <rFont val="Noto Sans CJK SC"/>
        <family val="2"/>
      </rPr>
      <t xml:space="preserve">초안입니다</t>
    </r>
    <r>
      <rPr>
        <sz val="10"/>
        <color rgb="FF595959"/>
        <rFont val="Malgun Gothic"/>
        <family val="0"/>
        <charset val="1"/>
      </rPr>
      <t xml:space="preserve">. 2026-10-18 </t>
    </r>
    <r>
      <rPr>
        <sz val="10"/>
        <color rgb="FF595959"/>
        <rFont val="Noto Sans CJK SC"/>
        <family val="2"/>
      </rPr>
      <t xml:space="preserve">실측 </t>
    </r>
    <r>
      <rPr>
        <sz val="10"/>
        <color rgb="FF595959"/>
        <rFont val="Malgun Gothic"/>
        <family val="0"/>
        <charset val="1"/>
      </rPr>
      <t xml:space="preserve">4</t>
    </r>
    <r>
      <rPr>
        <sz val="10"/>
        <color rgb="FF595959"/>
        <rFont val="Noto Sans CJK SC"/>
        <family val="2"/>
      </rPr>
      <t xml:space="preserve">명 </t>
    </r>
    <r>
      <rPr>
        <sz val="10"/>
        <color rgb="FF595959"/>
        <rFont val="Malgun Gothic"/>
        <family val="0"/>
        <charset val="1"/>
      </rPr>
      <t xml:space="preserve">28</t>
    </r>
    <r>
      <rPr>
        <sz val="10"/>
        <color rgb="FF595959"/>
        <rFont val="Noto Sans CJK SC"/>
        <family val="2"/>
      </rPr>
      <t xml:space="preserve">파일</t>
    </r>
    <r>
      <rPr>
        <sz val="10"/>
        <color rgb="FF595959"/>
        <rFont val="Malgun Gothic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자세당 </t>
    </r>
    <r>
      <rPr>
        <sz val="10"/>
        <color rgb="FF595959"/>
        <rFont val="Malgun Gothic"/>
        <family val="0"/>
        <charset val="1"/>
      </rPr>
      <t xml:space="preserve">2~4</t>
    </r>
    <r>
      <rPr>
        <sz val="10"/>
        <color rgb="FF595959"/>
        <rFont val="Noto Sans CJK SC"/>
        <family val="2"/>
      </rPr>
      <t xml:space="preserve">개</t>
    </r>
    <r>
      <rPr>
        <sz val="10"/>
        <color rgb="FF595959"/>
        <rFont val="Malgun Gothic"/>
        <family val="0"/>
        <charset val="1"/>
      </rPr>
      <t xml:space="preserve">)</t>
    </r>
    <r>
      <rPr>
        <sz val="10"/>
        <color rgb="FF595959"/>
        <rFont val="Noto Sans CJK SC"/>
        <family val="2"/>
      </rPr>
      <t xml:space="preserve">에서 정했으므로 참가자가 늘면 </t>
    </r>
    <r>
      <rPr>
        <sz val="10"/>
        <color rgb="FF595959"/>
        <rFont val="Malgun Gothic"/>
        <family val="0"/>
        <charset val="1"/>
      </rPr>
      <t xml:space="preserve">'</t>
    </r>
    <r>
      <rPr>
        <sz val="10"/>
        <color rgb="FF595959"/>
        <rFont val="Noto Sans CJK SC"/>
        <family val="2"/>
      </rPr>
      <t xml:space="preserve">실측 관찰값</t>
    </r>
    <r>
      <rPr>
        <sz val="10"/>
        <color rgb="FF595959"/>
        <rFont val="Malgun Gothic"/>
        <family val="0"/>
        <charset val="1"/>
      </rPr>
      <t xml:space="preserve">' </t>
    </r>
    <r>
      <rPr>
        <sz val="10"/>
        <color rgb="FF595959"/>
        <rFont val="Noto Sans CJK SC"/>
        <family val="2"/>
      </rPr>
      <t xml:space="preserve">시트를 보며 다시 조정하세요</t>
    </r>
    <r>
      <rPr>
        <sz val="10"/>
        <color rgb="FF595959"/>
        <rFont val="Malgun Gothic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</si>
  <si>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방석 총압력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원시값 합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</si>
  <si>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등받이 총압력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원시값 합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</si>
  <si>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엉덩이 줄 비중 </t>
    </r>
    <r>
      <rPr>
        <b val="true"/>
        <sz val="10"/>
        <rFont val="Malgun Gothic"/>
        <family val="0"/>
        <charset val="1"/>
      </rPr>
      <t xml:space="preserve">(%)</t>
    </r>
  </si>
  <si>
    <r>
      <rPr>
        <b val="true"/>
        <sz val="10"/>
        <rFont val="Noto Sans CJK SC"/>
        <family val="2"/>
      </rPr>
      <t xml:space="preserve">방석 오른쪽 비율 </t>
    </r>
    <r>
      <rPr>
        <b val="true"/>
        <sz val="10"/>
        <rFont val="Malgun Gothic"/>
        <family val="0"/>
        <charset val="1"/>
      </rPr>
      <t xml:space="preserve">(%)</t>
    </r>
  </si>
  <si>
    <r>
      <rPr>
        <b val="true"/>
        <sz val="10"/>
        <rFont val="Noto Sans CJK SC"/>
        <family val="2"/>
      </rPr>
      <t xml:space="preserve">등받이 오른쪽 비율 </t>
    </r>
    <r>
      <rPr>
        <b val="true"/>
        <sz val="10"/>
        <rFont val="Malgun Gothic"/>
        <family val="0"/>
        <charset val="1"/>
      </rPr>
      <t xml:space="preserve">(%)</t>
    </r>
  </si>
  <si>
    <r>
      <rPr>
        <b val="true"/>
        <sz val="10"/>
        <rFont val="Noto Sans CJK SC"/>
        <family val="2"/>
      </rPr>
      <t xml:space="preserve">등받이 어깨 줄 비중 </t>
    </r>
    <r>
      <rPr>
        <b val="true"/>
        <sz val="10"/>
        <rFont val="Malgun Gothic"/>
        <family val="0"/>
        <charset val="1"/>
      </rPr>
      <t xml:space="preserve">(%)</t>
    </r>
  </si>
  <si>
    <r>
      <rPr>
        <b val="true"/>
        <sz val="10"/>
        <rFont val="Noto Sans CJK SC"/>
        <family val="2"/>
      </rPr>
      <t xml:space="preserve">등받이 반응 채널 수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</si>
  <si>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자세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영문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</si>
  <si>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자세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한글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</si>
  <si>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하한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이상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</si>
  <si>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상한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이하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</si>
  <si>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공통 품질 기준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모든 자세에 적용</t>
    </r>
    <r>
      <rPr>
        <b val="true"/>
        <sz val="10"/>
        <rFont val="Malgun Gothic"/>
        <family val="0"/>
        <charset val="1"/>
      </rPr>
      <t xml:space="preserve">)</t>
    </r>
  </si>
  <si>
    <t xml:space="preserve">설명</t>
  </si>
  <si>
    <t xml:space="preserve">최소 프레임 수</t>
  </si>
  <si>
    <r>
      <rPr>
        <sz val="10"/>
        <rFont val="Malgun Gothic"/>
        <family val="0"/>
        <charset val="1"/>
      </rPr>
      <t xml:space="preserve">20</t>
    </r>
    <r>
      <rPr>
        <sz val="10"/>
        <rFont val="Noto Sans CJK SC"/>
        <family val="2"/>
      </rPr>
      <t xml:space="preserve">초 </t>
    </r>
    <r>
      <rPr>
        <sz val="10"/>
        <rFont val="Malgun Gothic"/>
        <family val="0"/>
        <charset val="1"/>
      </rPr>
      <t xml:space="preserve">× </t>
    </r>
    <r>
      <rPr>
        <sz val="10"/>
        <rFont val="Noto Sans CJK SC"/>
        <family val="2"/>
      </rPr>
      <t xml:space="preserve">약 </t>
    </r>
    <r>
      <rPr>
        <sz val="10"/>
        <rFont val="Malgun Gothic"/>
        <family val="0"/>
        <charset val="1"/>
      </rPr>
      <t xml:space="preserve">62fps ≈ 1,240</t>
    </r>
    <r>
      <rPr>
        <sz val="10"/>
        <rFont val="Noto Sans CJK SC"/>
        <family val="2"/>
      </rPr>
      <t xml:space="preserve">프레임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이보다 적으면 수신이 끊긴 것</t>
    </r>
  </si>
  <si>
    <r>
      <rPr>
        <sz val="10"/>
        <rFont val="Noto Sans CJK SC"/>
        <family val="2"/>
      </rPr>
      <t xml:space="preserve">길이 하한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초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</si>
  <si>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자세당 </t>
    </r>
    <r>
      <rPr>
        <sz val="10"/>
        <rFont val="Malgun Gothic"/>
        <family val="0"/>
        <charset val="1"/>
      </rPr>
      <t xml:space="preserve">20</t>
    </r>
    <r>
      <rPr>
        <sz val="10"/>
        <rFont val="Noto Sans CJK SC"/>
        <family val="2"/>
      </rPr>
      <t xml:space="preserve">초 수집이 기본</t>
    </r>
  </si>
  <si>
    <r>
      <rPr>
        <sz val="10"/>
        <rFont val="Noto Sans CJK SC"/>
        <family val="2"/>
      </rPr>
      <t xml:space="preserve">길이 상한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초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</si>
  <si>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fps </t>
    </r>
    <r>
      <rPr>
        <sz val="10"/>
        <rFont val="Noto Sans CJK SC"/>
        <family val="2"/>
      </rPr>
      <t xml:space="preserve">하한</t>
    </r>
  </si>
  <si>
    <r>
      <rPr>
        <sz val="10"/>
        <rFont val="Noto Sans CJK SC"/>
        <family val="2"/>
      </rPr>
      <t xml:space="preserve">관찰값 </t>
    </r>
    <r>
      <rPr>
        <sz val="10"/>
        <rFont val="Malgun Gothic"/>
        <family val="0"/>
        <charset val="1"/>
      </rPr>
      <t xml:space="preserve">62.3 (</t>
    </r>
    <r>
      <rPr>
        <sz val="10"/>
        <rFont val="Noto Sans CJK SC"/>
        <family val="2"/>
      </rPr>
      <t xml:space="preserve">모든 파일 동일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</si>
  <si>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fps </t>
    </r>
    <r>
      <rPr>
        <sz val="10"/>
        <rFont val="Noto Sans CJK SC"/>
        <family val="2"/>
      </rPr>
      <t xml:space="preserve">상한</t>
    </r>
  </si>
  <si>
    <r>
      <rPr>
        <sz val="10"/>
        <rFont val="Noto Sans CJK SC"/>
        <family val="2"/>
      </rPr>
      <t xml:space="preserve">방석 흔들림 상한 </t>
    </r>
    <r>
      <rPr>
        <sz val="10"/>
        <rFont val="Malgun Gothic"/>
        <family val="0"/>
        <charset val="1"/>
      </rPr>
      <t xml:space="preserve">(CV %)</t>
    </r>
  </si>
  <si>
    <r>
      <rPr>
        <sz val="10"/>
        <rFont val="Noto Sans CJK SC"/>
        <family val="2"/>
      </rPr>
      <t xml:space="preserve">프레임별 방석 총압력의 변동계수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크면 자세 중 몸을 움직인 것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관찰 </t>
    </r>
    <r>
      <rPr>
        <sz val="10"/>
        <rFont val="Malgun Gothic"/>
        <family val="0"/>
        <charset val="1"/>
      </rPr>
      <t xml:space="preserve">0.2~17.6)</t>
    </r>
  </si>
  <si>
    <r>
      <rPr>
        <sz val="10"/>
        <rFont val="Noto Sans CJK SC"/>
        <family val="2"/>
      </rPr>
      <t xml:space="preserve">포화 비율 상한 </t>
    </r>
    <r>
      <rPr>
        <sz val="10"/>
        <rFont val="Malgun Gothic"/>
        <family val="0"/>
        <charset val="1"/>
      </rPr>
      <t xml:space="preserve">(%)</t>
    </r>
  </si>
  <si>
    <r>
      <rPr>
        <sz val="10"/>
        <rFont val="Noto Sans CJK SC"/>
        <family val="2"/>
      </rPr>
      <t xml:space="preserve">전체 샘플 중 최댓값 근처</t>
    </r>
    <r>
      <rPr>
        <sz val="10"/>
        <rFont val="Malgun Gothic"/>
        <family val="0"/>
        <charset val="1"/>
      </rPr>
      <t xml:space="preserve">(1,043 </t>
    </r>
    <r>
      <rPr>
        <sz val="10"/>
        <rFont val="Noto Sans CJK SC"/>
        <family val="2"/>
      </rPr>
      <t xml:space="preserve">이상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에 붙은 비율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관찰 최대 </t>
    </r>
    <r>
      <rPr>
        <sz val="10"/>
        <rFont val="Malgun Gothic"/>
        <family val="0"/>
        <charset val="1"/>
      </rPr>
      <t xml:space="preserve">0.018</t>
    </r>
  </si>
  <si>
    <t xml:space="preserve">빈 의자로 볼 방석 총압력</t>
  </si>
  <si>
    <t xml:space="preserve">이 값 이하면 앉지 않은 것으로 보고 흔들림 검사를 건너뜀</t>
  </si>
  <si>
    <r>
      <rPr>
        <sz val="10"/>
        <color rgb="FF595959"/>
        <rFont val="Noto Sans CJK SC"/>
        <family val="2"/>
      </rPr>
      <t xml:space="preserve">기준을 정한 근거</t>
    </r>
    <r>
      <rPr>
        <sz val="10"/>
        <color rgb="FF595959"/>
        <rFont val="Malgun Gothic"/>
        <family val="0"/>
        <charset val="1"/>
      </rPr>
      <t xml:space="preserve">: '</t>
    </r>
    <r>
      <rPr>
        <sz val="10"/>
        <color rgb="FF595959"/>
        <rFont val="Noto Sans CJK SC"/>
        <family val="2"/>
      </rPr>
      <t xml:space="preserve">정의 기반</t>
    </r>
    <r>
      <rPr>
        <sz val="10"/>
        <color rgb="FF595959"/>
        <rFont val="Malgun Gothic"/>
        <family val="0"/>
        <charset val="1"/>
      </rPr>
      <t xml:space="preserve">'(</t>
    </r>
    <r>
      <rPr>
        <sz val="10"/>
        <color rgb="FF595959"/>
        <rFont val="Noto Sans CJK SC"/>
        <family val="2"/>
      </rPr>
      <t xml:space="preserve">자세 정의상 반드시 그래야 함</t>
    </r>
    <r>
      <rPr>
        <sz val="10"/>
        <color rgb="FF595959"/>
        <rFont val="Malgun Gothic"/>
        <family val="0"/>
        <charset val="1"/>
      </rPr>
      <t xml:space="preserve">: </t>
    </r>
    <r>
      <rPr>
        <sz val="10"/>
        <color rgb="FF595959"/>
        <rFont val="Noto Sans CJK SC"/>
        <family val="2"/>
      </rPr>
      <t xml:space="preserve">앞으로 숙이기의 등받이 </t>
    </r>
    <r>
      <rPr>
        <sz val="10"/>
        <color rgb="FF595959"/>
        <rFont val="Malgun Gothic"/>
        <family val="0"/>
        <charset val="1"/>
      </rPr>
      <t xml:space="preserve">0, </t>
    </r>
    <r>
      <rPr>
        <sz val="10"/>
        <color rgb="FF595959"/>
        <rFont val="Noto Sans CJK SC"/>
        <family val="2"/>
      </rPr>
      <t xml:space="preserve">거북목의 어깨 줄 </t>
    </r>
    <r>
      <rPr>
        <sz val="10"/>
        <color rgb="FF595959"/>
        <rFont val="Malgun Gothic"/>
        <family val="0"/>
        <charset val="1"/>
      </rPr>
      <t xml:space="preserve">0 </t>
    </r>
    <r>
      <rPr>
        <sz val="10"/>
        <color rgb="FF595959"/>
        <rFont val="Noto Sans CJK SC"/>
        <family val="2"/>
      </rPr>
      <t xml:space="preserve">등</t>
    </r>
    <r>
      <rPr>
        <sz val="10"/>
        <color rgb="FF595959"/>
        <rFont val="Malgun Gothic"/>
        <family val="0"/>
        <charset val="1"/>
      </rPr>
      <t xml:space="preserve">)</t>
    </r>
    <r>
      <rPr>
        <sz val="10"/>
        <color rgb="FF595959"/>
        <rFont val="Noto Sans CJK SC"/>
        <family val="2"/>
      </rPr>
      <t xml:space="preserve">과 </t>
    </r>
    <r>
      <rPr>
        <sz val="10"/>
        <color rgb="FF595959"/>
        <rFont val="Malgun Gothic"/>
        <family val="0"/>
        <charset val="1"/>
      </rPr>
      <t xml:space="preserve">'</t>
    </r>
    <r>
      <rPr>
        <sz val="10"/>
        <color rgb="FF595959"/>
        <rFont val="Noto Sans CJK SC"/>
        <family val="2"/>
      </rPr>
      <t xml:space="preserve">관찰 기반</t>
    </r>
    <r>
      <rPr>
        <sz val="10"/>
        <color rgb="FF595959"/>
        <rFont val="Malgun Gothic"/>
        <family val="0"/>
        <charset val="1"/>
      </rPr>
      <t xml:space="preserve">'(</t>
    </r>
    <r>
      <rPr>
        <sz val="10"/>
        <color rgb="FF595959"/>
        <rFont val="Noto Sans CJK SC"/>
        <family val="2"/>
      </rPr>
      <t xml:space="preserve">실측 분포에서 여유를 두고 정함</t>
    </r>
    <r>
      <rPr>
        <sz val="10"/>
        <color rgb="FF595959"/>
        <rFont val="Malgun Gothic"/>
        <family val="0"/>
        <charset val="1"/>
      </rPr>
      <t xml:space="preserve">)</t>
    </r>
    <r>
      <rPr>
        <sz val="10"/>
        <color rgb="FF595959"/>
        <rFont val="Noto Sans CJK SC"/>
        <family val="2"/>
      </rPr>
      <t xml:space="preserve">이 섞여 있습니다</t>
    </r>
    <r>
      <rPr>
        <sz val="10"/>
        <color rgb="FF595959"/>
        <rFont val="Malgun Gothic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항목별 관찰 범위는 </t>
    </r>
    <r>
      <rPr>
        <sz val="10"/>
        <color rgb="FF595959"/>
        <rFont val="Malgun Gothic"/>
        <family val="0"/>
        <charset val="1"/>
      </rPr>
      <t xml:space="preserve">'</t>
    </r>
    <r>
      <rPr>
        <sz val="10"/>
        <color rgb="FF595959"/>
        <rFont val="Noto Sans CJK SC"/>
        <family val="2"/>
      </rPr>
      <t xml:space="preserve">실측 관찰값</t>
    </r>
    <r>
      <rPr>
        <sz val="10"/>
        <color rgb="FF595959"/>
        <rFont val="Malgun Gothic"/>
        <family val="0"/>
        <charset val="1"/>
      </rPr>
      <t xml:space="preserve">' </t>
    </r>
    <r>
      <rPr>
        <sz val="10"/>
        <color rgb="FF595959"/>
        <rFont val="Noto Sans CJK SC"/>
        <family val="2"/>
      </rPr>
      <t xml:space="preserve">시트에 있습니다</t>
    </r>
    <r>
      <rPr>
        <sz val="10"/>
        <color rgb="FF595959"/>
        <rFont val="Malgun Gothic"/>
        <family val="0"/>
        <charset val="1"/>
      </rPr>
      <t xml:space="preserve">.</t>
    </r>
  </si>
  <si>
    <r>
      <rPr>
        <b val="true"/>
        <sz val="15"/>
        <color rgb="FF1F3864"/>
        <rFont val="Noto Sans CJK SC"/>
        <family val="2"/>
      </rPr>
      <t xml:space="preserve">수집 현황 </t>
    </r>
    <r>
      <rPr>
        <b val="true"/>
        <sz val="15"/>
        <color rgb="FF1F3864"/>
        <rFont val="Malgun Gothic"/>
        <family val="0"/>
        <charset val="1"/>
      </rPr>
      <t xml:space="preserve">· </t>
    </r>
    <r>
      <rPr>
        <b val="true"/>
        <sz val="15"/>
        <color rgb="FF1F3864"/>
        <rFont val="Noto Sans CJK SC"/>
        <family val="2"/>
      </rPr>
      <t xml:space="preserve">자동 판정</t>
    </r>
  </si>
  <si>
    <r>
      <rPr>
        <sz val="10"/>
        <color rgb="FF595959"/>
        <rFont val="Malgun Gothic"/>
        <family val="0"/>
        <charset val="1"/>
      </rPr>
      <t xml:space="preserve">A~P</t>
    </r>
    <r>
      <rPr>
        <sz val="10"/>
        <color rgb="FF595959"/>
        <rFont val="Noto Sans CJK SC"/>
        <family val="2"/>
      </rPr>
      <t xml:space="preserve">열</t>
    </r>
    <r>
      <rPr>
        <sz val="10"/>
        <color rgb="FF595959"/>
        <rFont val="Malgun Gothic"/>
        <family val="0"/>
        <charset val="1"/>
      </rPr>
      <t xml:space="preserve">: qc_64ch.py </t>
    </r>
    <r>
      <rPr>
        <sz val="10"/>
        <color rgb="FF595959"/>
        <rFont val="Noto Sans CJK SC"/>
        <family val="2"/>
      </rPr>
      <t xml:space="preserve">결과를 </t>
    </r>
    <r>
      <rPr>
        <sz val="10"/>
        <color rgb="FF595959"/>
        <rFont val="Malgun Gothic"/>
        <family val="0"/>
        <charset val="1"/>
      </rPr>
      <t xml:space="preserve">A6</t>
    </r>
    <r>
      <rPr>
        <sz val="10"/>
        <color rgb="FF595959"/>
        <rFont val="Noto Sans CJK SC"/>
        <family val="2"/>
      </rPr>
      <t xml:space="preserve">부터 붙여 넣으세요</t>
    </r>
    <r>
      <rPr>
        <sz val="10"/>
        <color rgb="FF595959"/>
        <rFont val="Malgun Gothic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파란 글씨 </t>
    </r>
    <r>
      <rPr>
        <sz val="10"/>
        <color rgb="FF595959"/>
        <rFont val="Malgun Gothic"/>
        <family val="0"/>
        <charset val="1"/>
      </rPr>
      <t xml:space="preserve">= </t>
    </r>
    <r>
      <rPr>
        <sz val="10"/>
        <color rgb="FF595959"/>
        <rFont val="Noto Sans CJK SC"/>
        <family val="2"/>
      </rPr>
      <t xml:space="preserve">입력값</t>
    </r>
    <r>
      <rPr>
        <sz val="10"/>
        <color rgb="FF595959"/>
        <rFont val="Malgun Gothic"/>
        <family val="0"/>
        <charset val="1"/>
      </rPr>
      <t xml:space="preserve">). Q~AA</t>
    </r>
    <r>
      <rPr>
        <sz val="10"/>
        <color rgb="FF595959"/>
        <rFont val="Noto Sans CJK SC"/>
        <family val="2"/>
      </rPr>
      <t xml:space="preserve">열은 자동 판정입니다</t>
    </r>
    <r>
      <rPr>
        <sz val="10"/>
        <color rgb="FF595959"/>
        <rFont val="Malgun Gothic"/>
        <family val="0"/>
        <charset val="1"/>
      </rPr>
      <t xml:space="preserve">. 100</t>
    </r>
    <r>
      <rPr>
        <sz val="10"/>
        <color rgb="FF595959"/>
        <rFont val="Noto Sans CJK SC"/>
        <family val="2"/>
      </rPr>
      <t xml:space="preserve">행</t>
    </r>
    <r>
      <rPr>
        <sz val="10"/>
        <color rgb="FF595959"/>
        <rFont val="Malgun Gothic"/>
        <family val="0"/>
        <charset val="1"/>
      </rPr>
      <t xml:space="preserve">(6~105)</t>
    </r>
    <r>
      <rPr>
        <sz val="10"/>
        <color rgb="FF595959"/>
        <rFont val="Noto Sans CJK SC"/>
        <family val="2"/>
      </rPr>
      <t xml:space="preserve">까지 수식이 준비돼 있습니다</t>
    </r>
    <r>
      <rPr>
        <sz val="10"/>
        <color rgb="FF595959"/>
        <rFont val="Malgun Gothic"/>
        <family val="0"/>
        <charset val="1"/>
      </rPr>
      <t xml:space="preserve">.</t>
    </r>
  </si>
  <si>
    <r>
      <rPr>
        <sz val="10"/>
        <color rgb="FF595959"/>
        <rFont val="Noto Sans CJK SC"/>
        <family val="2"/>
      </rPr>
      <t xml:space="preserve">판정</t>
    </r>
    <r>
      <rPr>
        <sz val="10"/>
        <color rgb="FF595959"/>
        <rFont val="Malgun Gothic"/>
        <family val="0"/>
        <charset val="1"/>
      </rPr>
      <t xml:space="preserve">: OK=</t>
    </r>
    <r>
      <rPr>
        <sz val="10"/>
        <color rgb="FF595959"/>
        <rFont val="Noto Sans CJK SC"/>
        <family val="2"/>
      </rPr>
      <t xml:space="preserve">기준 충족</t>
    </r>
    <r>
      <rPr>
        <sz val="10"/>
        <color rgb="FF595959"/>
        <rFont val="Malgun Gothic"/>
        <family val="0"/>
        <charset val="1"/>
      </rPr>
      <t xml:space="preserve">, X=</t>
    </r>
    <r>
      <rPr>
        <sz val="10"/>
        <color rgb="FF595959"/>
        <rFont val="Noto Sans CJK SC"/>
        <family val="2"/>
      </rPr>
      <t xml:space="preserve">기준 미달</t>
    </r>
    <r>
      <rPr>
        <sz val="10"/>
        <color rgb="FF595959"/>
        <rFont val="Malgun Gothic"/>
        <family val="0"/>
        <charset val="1"/>
      </rPr>
      <t xml:space="preserve">, N/A=</t>
    </r>
    <r>
      <rPr>
        <sz val="10"/>
        <color rgb="FF595959"/>
        <rFont val="Noto Sans CJK SC"/>
        <family val="2"/>
      </rPr>
      <t xml:space="preserve">지표를 계산할 수 없음</t>
    </r>
    <r>
      <rPr>
        <sz val="10"/>
        <color rgb="FF595959"/>
        <rFont val="Malgun Gothic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등받이 접촉이 거의 없어 비율을 못 구함</t>
    </r>
    <r>
      <rPr>
        <sz val="10"/>
        <color rgb="FF595959"/>
        <rFont val="Malgun Gothic"/>
        <family val="0"/>
        <charset val="1"/>
      </rPr>
      <t xml:space="preserve">), -=</t>
    </r>
    <r>
      <rPr>
        <sz val="10"/>
        <color rgb="FF595959"/>
        <rFont val="Noto Sans CJK SC"/>
        <family val="2"/>
      </rPr>
      <t xml:space="preserve">이 자세의 기준 아님</t>
    </r>
    <r>
      <rPr>
        <sz val="10"/>
        <color rgb="FF595959"/>
        <rFont val="Malgun Gothic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종합 </t>
    </r>
    <r>
      <rPr>
        <sz val="10"/>
        <color rgb="FF595959"/>
        <rFont val="Malgun Gothic"/>
        <family val="0"/>
        <charset val="1"/>
      </rPr>
      <t xml:space="preserve">PASS = </t>
    </r>
    <r>
      <rPr>
        <sz val="10"/>
        <color rgb="FF595959"/>
        <rFont val="Noto Sans CJK SC"/>
        <family val="2"/>
      </rPr>
      <t xml:space="preserve">품질 </t>
    </r>
    <r>
      <rPr>
        <sz val="10"/>
        <color rgb="FF595959"/>
        <rFont val="Malgun Gothic"/>
        <family val="0"/>
        <charset val="1"/>
      </rPr>
      <t xml:space="preserve">OK</t>
    </r>
    <r>
      <rPr>
        <sz val="10"/>
        <color rgb="FF595959"/>
        <rFont val="Noto Sans CJK SC"/>
        <family val="2"/>
      </rPr>
      <t xml:space="preserve">이고 </t>
    </r>
    <r>
      <rPr>
        <sz val="10"/>
        <color rgb="FF595959"/>
        <rFont val="Malgun Gothic"/>
        <family val="0"/>
        <charset val="1"/>
      </rPr>
      <t xml:space="preserve">X</t>
    </r>
    <r>
      <rPr>
        <sz val="10"/>
        <color rgb="FF595959"/>
        <rFont val="Noto Sans CJK SC"/>
        <family val="2"/>
      </rPr>
      <t xml:space="preserve">가 하나도 없음</t>
    </r>
    <r>
      <rPr>
        <sz val="10"/>
        <color rgb="FF595959"/>
        <rFont val="Malgun Gothic"/>
        <family val="0"/>
        <charset val="1"/>
      </rPr>
      <t xml:space="preserve">.</t>
    </r>
  </si>
  <si>
    <t xml:space="preserve">파일명</t>
  </si>
  <si>
    <t xml:space="preserve">person</t>
  </si>
  <si>
    <t xml:space="preserve">회차</t>
  </si>
  <si>
    <t xml:space="preserve">프레임 수</t>
  </si>
  <si>
    <r>
      <rPr>
        <b val="true"/>
        <sz val="10"/>
        <color rgb="FFFFFFFF"/>
        <rFont val="Noto Sans CJK SC"/>
        <family val="2"/>
      </rPr>
      <t xml:space="preserve">길이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</si>
  <si>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fps</t>
  </si>
  <si>
    <t xml:space="preserve">방석 총압력</t>
  </si>
  <si>
    <t xml:space="preserve">등받이 총압력</t>
  </si>
  <si>
    <r>
      <rPr>
        <b val="true"/>
        <sz val="10"/>
        <color rgb="FFFFFFFF"/>
        <rFont val="Noto Sans CJK SC"/>
        <family val="2"/>
      </rPr>
      <t xml:space="preserve">엉덩이 줄 비중</t>
    </r>
    <r>
      <rPr>
        <b val="true"/>
        <sz val="10"/>
        <color rgb="FFFFFFFF"/>
        <rFont val="Malgun Gothic"/>
        <family val="0"/>
        <charset val="1"/>
      </rPr>
      <t xml:space="preserve">(%)</t>
    </r>
  </si>
  <si>
    <r>
      <rPr>
        <b val="true"/>
        <sz val="10"/>
        <color rgb="FFFFFFFF"/>
        <rFont val="Noto Sans CJK SC"/>
        <family val="2"/>
      </rPr>
      <t xml:space="preserve">방석 오른쪽</t>
    </r>
    <r>
      <rPr>
        <b val="true"/>
        <sz val="10"/>
        <color rgb="FFFFFFFF"/>
        <rFont val="Malgun Gothic"/>
        <family val="0"/>
        <charset val="1"/>
      </rPr>
      <t xml:space="preserve">(%)</t>
    </r>
  </si>
  <si>
    <r>
      <rPr>
        <b val="true"/>
        <sz val="10"/>
        <color rgb="FFFFFFFF"/>
        <rFont val="Noto Sans CJK SC"/>
        <family val="2"/>
      </rPr>
      <t xml:space="preserve">등받이 오른쪽</t>
    </r>
    <r>
      <rPr>
        <b val="true"/>
        <sz val="10"/>
        <color rgb="FFFFFFFF"/>
        <rFont val="Malgun Gothic"/>
        <family val="0"/>
        <charset val="1"/>
      </rPr>
      <t xml:space="preserve">(%)</t>
    </r>
  </si>
  <si>
    <r>
      <rPr>
        <b val="true"/>
        <sz val="10"/>
        <color rgb="FFFFFFFF"/>
        <rFont val="Noto Sans CJK SC"/>
        <family val="2"/>
      </rPr>
      <t xml:space="preserve">등받이 어깨 줄</t>
    </r>
    <r>
      <rPr>
        <b val="true"/>
        <sz val="10"/>
        <color rgb="FFFFFFFF"/>
        <rFont val="Malgun Gothic"/>
        <family val="0"/>
        <charset val="1"/>
      </rPr>
      <t xml:space="preserve">(%)</t>
    </r>
  </si>
  <si>
    <t xml:space="preserve">등받이 반응 채널 수</t>
  </si>
  <si>
    <r>
      <rPr>
        <b val="true"/>
        <sz val="10"/>
        <color rgb="FFFFFFFF"/>
        <rFont val="Noto Sans CJK SC"/>
        <family val="2"/>
      </rPr>
      <t xml:space="preserve">방석 흔들림</t>
    </r>
    <r>
      <rPr>
        <b val="true"/>
        <sz val="10"/>
        <color rgb="FFFFFFFF"/>
        <rFont val="Malgun Gothic"/>
        <family val="0"/>
        <charset val="1"/>
      </rPr>
      <t xml:space="preserve">(CV%)</t>
    </r>
  </si>
  <si>
    <r>
      <rPr>
        <b val="true"/>
        <sz val="10"/>
        <color rgb="FFFFFFFF"/>
        <rFont val="Noto Sans CJK SC"/>
        <family val="2"/>
      </rPr>
      <t xml:space="preserve">포화 비율</t>
    </r>
    <r>
      <rPr>
        <b val="true"/>
        <sz val="10"/>
        <color rgb="FFFFFFFF"/>
        <rFont val="Malgun Gothic"/>
        <family val="0"/>
        <charset val="1"/>
      </rPr>
      <t xml:space="preserve">(%)</t>
    </r>
  </si>
  <si>
    <t xml:space="preserve">기준 행</t>
  </si>
  <si>
    <t xml:space="preserve">품질</t>
  </si>
  <si>
    <t xml:space="preserve">엉덩이 줄 비중</t>
  </si>
  <si>
    <t xml:space="preserve">방석 오른쪽 비율</t>
  </si>
  <si>
    <t xml:space="preserve">등받이 오른쪽 비율</t>
  </si>
  <si>
    <t xml:space="preserve">등받이 어깨 줄 비중</t>
  </si>
  <si>
    <t xml:space="preserve">실패 수</t>
  </si>
  <si>
    <t xml:space="preserve">종합</t>
  </si>
  <si>
    <t xml:space="preserve">aro_cross_leg_left_1.csv</t>
  </si>
  <si>
    <t xml:space="preserve">aro_cross_leg_right_1.csv</t>
  </si>
  <si>
    <t xml:space="preserve">aro_lean_right_1.csv</t>
  </si>
  <si>
    <t xml:space="preserve">aro_sitting_straight_2.csv</t>
  </si>
  <si>
    <t xml:space="preserve">aro_turtle_neck_1.csv</t>
  </si>
  <si>
    <t xml:space="preserve">dahye_cross_leg_left_3.csv</t>
  </si>
  <si>
    <t xml:space="preserve">dahye_cross_leg_right_1.csv</t>
  </si>
  <si>
    <t xml:space="preserve">dahye_lean_forward_1.csv</t>
  </si>
  <si>
    <t xml:space="preserve">dahye_lean_left_2.csv</t>
  </si>
  <si>
    <t xml:space="preserve">dahye_lean_right_1.csv</t>
  </si>
  <si>
    <t xml:space="preserve">dahye_sitting_straight_1.csv</t>
  </si>
  <si>
    <t xml:space="preserve">dahye_turtle_neck_1.csv</t>
  </si>
  <si>
    <t xml:space="preserve">junseo_cross_leg_left_2.csv</t>
  </si>
  <si>
    <t xml:space="preserve">junseo_cross_leg_right_1.csv</t>
  </si>
  <si>
    <t xml:space="preserve">junseo_lean_forward_1.csv</t>
  </si>
  <si>
    <t xml:space="preserve">junseo_lean_left_1.csv</t>
  </si>
  <si>
    <t xml:space="preserve">junseo_lean_right_1.csv</t>
  </si>
  <si>
    <t xml:space="preserve">junseo_not_sitting_1.csv</t>
  </si>
  <si>
    <t xml:space="preserve">junseo_sitting_straight_2.csv</t>
  </si>
  <si>
    <t xml:space="preserve">junseo_turtle_neck_2.csv</t>
  </si>
  <si>
    <t xml:space="preserve">yewon_cross_leg_left_1.csv</t>
  </si>
  <si>
    <t xml:space="preserve">yewon_cross_leg_right_1.csv</t>
  </si>
  <si>
    <t xml:space="preserve">yewon_lean_forward_2.csv</t>
  </si>
  <si>
    <t xml:space="preserve">yewon_lean_left_1.csv</t>
  </si>
  <si>
    <t xml:space="preserve">yewon_lean_right_2.csv</t>
  </si>
  <si>
    <t xml:space="preserve">yewon_not_sitting_1.csv</t>
  </si>
  <si>
    <t xml:space="preserve">yewon_sitting_straight_1.csv</t>
  </si>
  <si>
    <t xml:space="preserve">yewon_turtle_neck_1.csv</t>
  </si>
  <si>
    <t xml:space="preserve">합격 파일 수</t>
  </si>
  <si>
    <t xml:space="preserve">불합격</t>
  </si>
  <si>
    <r>
      <rPr>
        <b val="true"/>
        <sz val="15"/>
        <color rgb="FF1F3864"/>
        <rFont val="Noto Sans CJK SC"/>
        <family val="2"/>
      </rPr>
      <t xml:space="preserve">참가자 </t>
    </r>
    <r>
      <rPr>
        <b val="true"/>
        <sz val="15"/>
        <color rgb="FF1F3864"/>
        <rFont val="Malgun Gothic"/>
        <family val="0"/>
        <charset val="1"/>
      </rPr>
      <t xml:space="preserve">× </t>
    </r>
    <r>
      <rPr>
        <b val="true"/>
        <sz val="15"/>
        <color rgb="FF1F3864"/>
        <rFont val="Noto Sans CJK SC"/>
        <family val="2"/>
      </rPr>
      <t xml:space="preserve">자세 수집 현황 </t>
    </r>
    <r>
      <rPr>
        <b val="true"/>
        <sz val="15"/>
        <color rgb="FF1F3864"/>
        <rFont val="Malgun Gothic"/>
        <family val="0"/>
        <charset val="1"/>
      </rPr>
      <t xml:space="preserve">(</t>
    </r>
    <r>
      <rPr>
        <b val="true"/>
        <sz val="15"/>
        <color rgb="FF1F3864"/>
        <rFont val="Noto Sans CJK SC"/>
        <family val="2"/>
      </rPr>
      <t xml:space="preserve">합격 파일 수</t>
    </r>
    <r>
      <rPr>
        <b val="true"/>
        <sz val="15"/>
        <color rgb="FF1F3864"/>
        <rFont val="Malgun Gothic"/>
        <family val="0"/>
        <charset val="1"/>
      </rPr>
      <t xml:space="preserve">)</t>
    </r>
  </si>
  <si>
    <r>
      <rPr>
        <sz val="10"/>
        <color rgb="FF595959"/>
        <rFont val="Malgun Gothic"/>
        <family val="0"/>
        <charset val="1"/>
      </rPr>
      <t xml:space="preserve">'</t>
    </r>
    <r>
      <rPr>
        <sz val="10"/>
        <color rgb="FF595959"/>
        <rFont val="Noto Sans CJK SC"/>
        <family val="2"/>
      </rPr>
      <t xml:space="preserve">참가자 명단</t>
    </r>
    <r>
      <rPr>
        <sz val="10"/>
        <color rgb="FF595959"/>
        <rFont val="Malgun Gothic"/>
        <family val="0"/>
        <charset val="1"/>
      </rPr>
      <t xml:space="preserve">'</t>
    </r>
    <r>
      <rPr>
        <sz val="10"/>
        <color rgb="FF595959"/>
        <rFont val="Noto Sans CJK SC"/>
        <family val="2"/>
      </rPr>
      <t xml:space="preserve">과 </t>
    </r>
    <r>
      <rPr>
        <sz val="10"/>
        <color rgb="FF595959"/>
        <rFont val="Malgun Gothic"/>
        <family val="0"/>
        <charset val="1"/>
      </rPr>
      <t xml:space="preserve">'</t>
    </r>
    <r>
      <rPr>
        <sz val="10"/>
        <color rgb="FF595959"/>
        <rFont val="Noto Sans CJK SC"/>
        <family val="2"/>
      </rPr>
      <t xml:space="preserve">수집 현황</t>
    </r>
    <r>
      <rPr>
        <sz val="10"/>
        <color rgb="FF595959"/>
        <rFont val="Malgun Gothic"/>
        <family val="0"/>
        <charset val="1"/>
      </rPr>
      <t xml:space="preserve">'</t>
    </r>
    <r>
      <rPr>
        <sz val="10"/>
        <color rgb="FF595959"/>
        <rFont val="Noto Sans CJK SC"/>
        <family val="2"/>
      </rPr>
      <t xml:space="preserve">에서 자동 집계됩니다</t>
    </r>
    <r>
      <rPr>
        <sz val="10"/>
        <color rgb="FF595959"/>
        <rFont val="Malgun Gothic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목표 회차보다 적은 칸은 주황</t>
    </r>
    <r>
      <rPr>
        <sz val="10"/>
        <color rgb="FF595959"/>
        <rFont val="Malgun Gothic"/>
        <family val="0"/>
        <charset val="1"/>
      </rPr>
      <t xml:space="preserve">, 0</t>
    </r>
    <r>
      <rPr>
        <sz val="10"/>
        <color rgb="FF595959"/>
        <rFont val="Noto Sans CJK SC"/>
        <family val="2"/>
      </rPr>
      <t xml:space="preserve">인 칸은 빨강입니다</t>
    </r>
    <r>
      <rPr>
        <sz val="10"/>
        <color rgb="FF595959"/>
        <rFont val="Malgun Gothic"/>
        <family val="0"/>
        <charset val="1"/>
      </rPr>
      <t xml:space="preserve">.</t>
    </r>
  </si>
  <si>
    <t xml:space="preserve">자세당 목표 합격 회차</t>
  </si>
  <si>
    <r>
      <rPr>
        <sz val="10"/>
        <color rgb="FF595959"/>
        <rFont val="Malgun Gothic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파란 숫자를 바꾸면 부족 표시가 바뀜</t>
    </r>
    <r>
      <rPr>
        <sz val="10"/>
        <color rgb="FF595959"/>
        <rFont val="Malgun Gothic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이 목표는 임의 초안으로</t>
    </r>
    <r>
      <rPr>
        <sz val="10"/>
        <color rgb="FF595959"/>
        <rFont val="Malgun Gothic"/>
        <family val="0"/>
        <charset val="1"/>
      </rPr>
      <t xml:space="preserve">, </t>
    </r>
    <r>
      <rPr>
        <sz val="10"/>
        <color rgb="FF595959"/>
        <rFont val="Noto Sans CJK SC"/>
        <family val="2"/>
      </rPr>
      <t xml:space="preserve">팀 매뉴얼의 회차에 맞추세요</t>
    </r>
    <r>
      <rPr>
        <sz val="10"/>
        <color rgb="FF595959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</si>
  <si>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참가자 </t>
    </r>
    <r>
      <rPr>
        <b val="true"/>
        <sz val="10"/>
        <color rgb="FFFFFFFF"/>
        <rFont val="Malgun Gothic"/>
        <family val="0"/>
        <charset val="1"/>
      </rPr>
      <t xml:space="preserve">person</t>
    </r>
  </si>
  <si>
    <t xml:space="preserve">기본 케이스</t>
  </si>
  <si>
    <r>
      <rPr>
        <b val="true"/>
        <sz val="10"/>
        <color rgb="FFFFFFFF"/>
        <rFont val="Malgun Gothic"/>
        <family val="0"/>
        <charset val="1"/>
      </rPr>
      <t xml:space="preserve">p0 </t>
    </r>
    <r>
      <rPr>
        <b val="true"/>
        <sz val="10"/>
        <color rgb="FFFFFFFF"/>
        <rFont val="Noto Sans CJK SC"/>
        <family val="2"/>
      </rPr>
      <t xml:space="preserve">앉지 않음</t>
    </r>
  </si>
  <si>
    <r>
      <rPr>
        <b val="true"/>
        <sz val="10"/>
        <color rgb="FFFFFFFF"/>
        <rFont val="Malgun Gothic"/>
        <family val="0"/>
        <charset val="1"/>
      </rPr>
      <t xml:space="preserve">p1 </t>
    </r>
    <r>
      <rPr>
        <b val="true"/>
        <sz val="10"/>
        <color rgb="FFFFFFFF"/>
        <rFont val="Noto Sans CJK SC"/>
        <family val="2"/>
      </rPr>
      <t xml:space="preserve">정자세</t>
    </r>
  </si>
  <si>
    <r>
      <rPr>
        <b val="true"/>
        <sz val="10"/>
        <color rgb="FFFFFFFF"/>
        <rFont val="Malgun Gothic"/>
        <family val="0"/>
        <charset val="1"/>
      </rPr>
      <t xml:space="preserve">p2 </t>
    </r>
    <r>
      <rPr>
        <b val="true"/>
        <sz val="10"/>
        <color rgb="FFFFFFFF"/>
        <rFont val="Noto Sans CJK SC"/>
        <family val="2"/>
      </rPr>
      <t xml:space="preserve">앞으로 숙이기</t>
    </r>
  </si>
  <si>
    <r>
      <rPr>
        <b val="true"/>
        <sz val="10"/>
        <color rgb="FFFFFFFF"/>
        <rFont val="Malgun Gothic"/>
        <family val="0"/>
        <charset val="1"/>
      </rPr>
      <t xml:space="preserve">p3 </t>
    </r>
    <r>
      <rPr>
        <b val="true"/>
        <sz val="10"/>
        <color rgb="FFFFFFFF"/>
        <rFont val="Noto Sans CJK SC"/>
        <family val="2"/>
      </rPr>
      <t xml:space="preserve">오른다리 꼬기</t>
    </r>
  </si>
  <si>
    <r>
      <rPr>
        <b val="true"/>
        <sz val="10"/>
        <color rgb="FFFFFFFF"/>
        <rFont val="Malgun Gothic"/>
        <family val="0"/>
        <charset val="1"/>
      </rPr>
      <t xml:space="preserve">p4 </t>
    </r>
    <r>
      <rPr>
        <b val="true"/>
        <sz val="10"/>
        <color rgb="FFFFFFFF"/>
        <rFont val="Noto Sans CJK SC"/>
        <family val="2"/>
      </rPr>
      <t xml:space="preserve">왼다리 꼬기</t>
    </r>
  </si>
  <si>
    <r>
      <rPr>
        <b val="true"/>
        <sz val="10"/>
        <color rgb="FFFFFFFF"/>
        <rFont val="Malgun Gothic"/>
        <family val="0"/>
        <charset val="1"/>
      </rPr>
      <t xml:space="preserve">p5 </t>
    </r>
    <r>
      <rPr>
        <b val="true"/>
        <sz val="10"/>
        <color rgb="FFFFFFFF"/>
        <rFont val="Noto Sans CJK SC"/>
        <family val="2"/>
      </rPr>
      <t xml:space="preserve">오른쪽 기대기</t>
    </r>
  </si>
  <si>
    <r>
      <rPr>
        <b val="true"/>
        <sz val="10"/>
        <color rgb="FFFFFFFF"/>
        <rFont val="Malgun Gothic"/>
        <family val="0"/>
        <charset val="1"/>
      </rPr>
      <t xml:space="preserve">p6 </t>
    </r>
    <r>
      <rPr>
        <b val="true"/>
        <sz val="10"/>
        <color rgb="FFFFFFFF"/>
        <rFont val="Noto Sans CJK SC"/>
        <family val="2"/>
      </rPr>
      <t xml:space="preserve">왼쪽 기대기</t>
    </r>
  </si>
  <si>
    <r>
      <rPr>
        <b val="true"/>
        <sz val="10"/>
        <color rgb="FFFFFFFF"/>
        <rFont val="Malgun Gothic"/>
        <family val="0"/>
        <charset val="1"/>
      </rPr>
      <t xml:space="preserve">p7 </t>
    </r>
    <r>
      <rPr>
        <b val="true"/>
        <sz val="10"/>
        <color rgb="FFFFFFFF"/>
        <rFont val="Noto Sans CJK SC"/>
        <family val="2"/>
      </rPr>
      <t xml:space="preserve">거북목</t>
    </r>
  </si>
  <si>
    <t xml:space="preserve">합격 합계</t>
  </si>
  <si>
    <t xml:space="preserve">목표 미달 자세 수</t>
  </si>
  <si>
    <t xml:space="preserve">상태</t>
  </si>
  <si>
    <r>
      <rPr>
        <sz val="10"/>
        <color rgb="FF595959"/>
        <rFont val="Malgun Gothic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자세 영문 키</t>
    </r>
    <r>
      <rPr>
        <sz val="10"/>
        <color rgb="FF595959"/>
        <rFont val="Malgun Gothic"/>
        <family val="0"/>
        <charset val="1"/>
      </rPr>
      <t xml:space="preserve">)</t>
    </r>
  </si>
  <si>
    <t xml:space="preserve">합계</t>
  </si>
  <si>
    <r>
      <rPr>
        <b val="true"/>
        <sz val="15"/>
        <color rgb="FF1F3864"/>
        <rFont val="Noto Sans CJK SC"/>
        <family val="2"/>
      </rPr>
      <t xml:space="preserve">실측 관찰값 </t>
    </r>
    <r>
      <rPr>
        <b val="true"/>
        <sz val="15"/>
        <color rgb="FF1F3864"/>
        <rFont val="Malgun Gothic"/>
        <family val="0"/>
        <charset val="1"/>
      </rPr>
      <t xml:space="preserve">(</t>
    </r>
    <r>
      <rPr>
        <b val="true"/>
        <sz val="15"/>
        <color rgb="FF1F3864"/>
        <rFont val="Noto Sans CJK SC"/>
        <family val="2"/>
      </rPr>
      <t xml:space="preserve">자세 </t>
    </r>
    <r>
      <rPr>
        <b val="true"/>
        <sz val="15"/>
        <color rgb="FF1F3864"/>
        <rFont val="Malgun Gothic"/>
        <family val="0"/>
        <charset val="1"/>
      </rPr>
      <t xml:space="preserve">× </t>
    </r>
    <r>
      <rPr>
        <b val="true"/>
        <sz val="15"/>
        <color rgb="FF1F3864"/>
        <rFont val="Noto Sans CJK SC"/>
        <family val="2"/>
      </rPr>
      <t xml:space="preserve">지표</t>
    </r>
    <r>
      <rPr>
        <b val="true"/>
        <sz val="15"/>
        <color rgb="FF1F3864"/>
        <rFont val="Malgun Gothic"/>
        <family val="0"/>
        <charset val="1"/>
      </rPr>
      <t xml:space="preserve">)</t>
    </r>
  </si>
  <si>
    <r>
      <rPr>
        <sz val="10"/>
        <color rgb="FF595959"/>
        <rFont val="Malgun Gothic"/>
        <family val="0"/>
        <charset val="1"/>
      </rPr>
      <t xml:space="preserve">'</t>
    </r>
    <r>
      <rPr>
        <sz val="10"/>
        <color rgb="FF595959"/>
        <rFont val="Noto Sans CJK SC"/>
        <family val="2"/>
      </rPr>
      <t xml:space="preserve">수집 현황</t>
    </r>
    <r>
      <rPr>
        <sz val="10"/>
        <color rgb="FF595959"/>
        <rFont val="Malgun Gothic"/>
        <family val="0"/>
        <charset val="1"/>
      </rPr>
      <t xml:space="preserve">'</t>
    </r>
    <r>
      <rPr>
        <sz val="10"/>
        <color rgb="FF595959"/>
        <rFont val="Noto Sans CJK SC"/>
        <family val="2"/>
      </rPr>
      <t xml:space="preserve">의 모든 파일</t>
    </r>
    <r>
      <rPr>
        <sz val="10"/>
        <color rgb="FF595959"/>
        <rFont val="Malgun Gothic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합격</t>
    </r>
    <r>
      <rPr>
        <sz val="10"/>
        <color rgb="FF595959"/>
        <rFont val="Malgun Gothic"/>
        <family val="0"/>
        <charset val="1"/>
      </rPr>
      <t xml:space="preserve">/</t>
    </r>
    <r>
      <rPr>
        <sz val="10"/>
        <color rgb="FF595959"/>
        <rFont val="Noto Sans CJK SC"/>
        <family val="2"/>
      </rPr>
      <t xml:space="preserve">불합격 포함</t>
    </r>
    <r>
      <rPr>
        <sz val="10"/>
        <color rgb="FF595959"/>
        <rFont val="Malgun Gothic"/>
        <family val="0"/>
        <charset val="1"/>
      </rPr>
      <t xml:space="preserve">)</t>
    </r>
    <r>
      <rPr>
        <sz val="10"/>
        <color rgb="FF595959"/>
        <rFont val="Noto Sans CJK SC"/>
        <family val="2"/>
      </rPr>
      <t xml:space="preserve">에서 자동 집계됩니다</t>
    </r>
    <r>
      <rPr>
        <sz val="10"/>
        <color rgb="FF595959"/>
        <rFont val="Malgun Gothic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합격 기준이 관찰 범위와 얼마나 떨어져 있는지 보는 용도입니다</t>
    </r>
    <r>
      <rPr>
        <sz val="10"/>
        <color rgb="FF595959"/>
        <rFont val="Malgun Gothic"/>
        <family val="0"/>
        <charset val="1"/>
      </rPr>
      <t xml:space="preserve">.</t>
    </r>
  </si>
  <si>
    <t xml:space="preserve">지표</t>
  </si>
  <si>
    <t xml:space="preserve">파일 수</t>
  </si>
  <si>
    <t xml:space="preserve">최소</t>
  </si>
  <si>
    <t xml:space="preserve">평균</t>
  </si>
  <si>
    <t xml:space="preserve">최대</t>
  </si>
  <si>
    <t xml:space="preserve">기준 하한</t>
  </si>
  <si>
    <t xml:space="preserve">기준 상한</t>
  </si>
  <si>
    <r>
      <rPr>
        <sz val="10"/>
        <rFont val="Noto Sans CJK SC"/>
        <family val="2"/>
      </rPr>
      <t xml:space="preserve">방석 총압력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원시값 합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</si>
  <si>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등받이 총압력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원시값 합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</si>
  <si>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엉덩이 줄 비중 </t>
    </r>
    <r>
      <rPr>
        <sz val="10"/>
        <rFont val="Malgun Gothic"/>
        <family val="0"/>
        <charset val="1"/>
      </rPr>
      <t xml:space="preserve">(%)</t>
    </r>
  </si>
  <si>
    <r>
      <rPr>
        <sz val="10"/>
        <rFont val="Noto Sans CJK SC"/>
        <family val="2"/>
      </rPr>
      <t xml:space="preserve">방석 오른쪽 비율 </t>
    </r>
    <r>
      <rPr>
        <sz val="10"/>
        <rFont val="Malgun Gothic"/>
        <family val="0"/>
        <charset val="1"/>
      </rPr>
      <t xml:space="preserve">(%)</t>
    </r>
  </si>
  <si>
    <r>
      <rPr>
        <sz val="10"/>
        <rFont val="Noto Sans CJK SC"/>
        <family val="2"/>
      </rPr>
      <t xml:space="preserve">등받이 오른쪽 비율 </t>
    </r>
    <r>
      <rPr>
        <sz val="10"/>
        <rFont val="Malgun Gothic"/>
        <family val="0"/>
        <charset val="1"/>
      </rPr>
      <t xml:space="preserve">(%)</t>
    </r>
  </si>
  <si>
    <r>
      <rPr>
        <sz val="10"/>
        <rFont val="Noto Sans CJK SC"/>
        <family val="2"/>
      </rPr>
      <t xml:space="preserve">등받이 어깨 줄 비중 </t>
    </r>
    <r>
      <rPr>
        <sz val="10"/>
        <rFont val="Malgun Gothic"/>
        <family val="0"/>
        <charset val="1"/>
      </rPr>
      <t xml:space="preserve">(%)</t>
    </r>
  </si>
  <si>
    <r>
      <rPr>
        <sz val="10"/>
        <rFont val="Noto Sans CJK SC"/>
        <family val="2"/>
      </rPr>
      <t xml:space="preserve">등받이 반응 채널 수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개</t>
    </r>
    <r>
      <rPr>
        <sz val="10"/>
        <rFont val="Malgun Gothic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</si>
  <si>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같은 사람 안에서 본 거북목 </t>
    </r>
    <r>
      <rPr>
        <b val="true"/>
        <sz val="10"/>
        <rFont val="Malgun Gothic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정자세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등받이 총압력 비율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</si>
  <si>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거북목 </t>
    </r>
    <r>
      <rPr>
        <b val="true"/>
        <sz val="10"/>
        <color rgb="FFFFFFFF"/>
        <rFont val="Malgun Gothic"/>
        <family val="0"/>
        <charset val="1"/>
      </rPr>
      <t xml:space="preserve">÷ </t>
    </r>
    <r>
      <rPr>
        <b val="true"/>
        <sz val="10"/>
        <color rgb="FFFFFFFF"/>
        <rFont val="Noto Sans CJK SC"/>
        <family val="2"/>
      </rPr>
      <t xml:space="preserve">정자세 </t>
    </r>
    <r>
      <rPr>
        <b val="true"/>
        <sz val="10"/>
        <color rgb="FFFFFFFF"/>
        <rFont val="Malgun Gothic"/>
        <family val="0"/>
        <charset val="1"/>
      </rPr>
      <t xml:space="preserve">(%)</t>
    </r>
  </si>
  <si>
    <t xml:space="preserve">거북목 등받이</t>
  </si>
  <si>
    <t xml:space="preserve">정자세 등받이</t>
  </si>
  <si>
    <r>
      <rPr>
        <sz val="10"/>
        <color rgb="FF595959"/>
        <rFont val="Malgun Gothic"/>
        <family val="0"/>
        <charset val="1"/>
      </rPr>
      <t xml:space="preserve">2026-10-18 </t>
    </r>
    <r>
      <rPr>
        <sz val="10"/>
        <color rgb="FF595959"/>
        <rFont val="Noto Sans CJK SC"/>
        <family val="2"/>
      </rPr>
      <t xml:space="preserve">관찰</t>
    </r>
    <r>
      <rPr>
        <sz val="10"/>
        <color rgb="FF595959"/>
        <rFont val="Malgun Gothic"/>
        <family val="0"/>
        <charset val="1"/>
      </rPr>
      <t xml:space="preserve">: aro 5.8%, dahye 72.4%, junseo 0.5%, yewon 39.8%. </t>
    </r>
    <r>
      <rPr>
        <sz val="10"/>
        <color rgb="FF595959"/>
        <rFont val="Noto Sans CJK SC"/>
        <family val="2"/>
      </rPr>
      <t xml:space="preserve">거북목은 어깨 줄만으로는 정자세와 안 갈리고</t>
    </r>
    <r>
      <rPr>
        <sz val="10"/>
        <color rgb="FF595959"/>
        <rFont val="Malgun Gothic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정자세도 어깨 줄이 </t>
    </r>
    <r>
      <rPr>
        <sz val="10"/>
        <color rgb="FF595959"/>
        <rFont val="Malgun Gothic"/>
        <family val="0"/>
        <charset val="1"/>
      </rPr>
      <t xml:space="preserve">0</t>
    </r>
    <r>
      <rPr>
        <sz val="10"/>
        <color rgb="FF595959"/>
        <rFont val="Noto Sans CJK SC"/>
        <family val="2"/>
      </rPr>
      <t xml:space="preserve">인 사람이 많음</t>
    </r>
    <r>
      <rPr>
        <sz val="10"/>
        <color rgb="FF595959"/>
        <rFont val="Malgun Gothic"/>
        <family val="0"/>
        <charset val="1"/>
      </rPr>
      <t xml:space="preserve">), </t>
    </r>
    <r>
      <rPr>
        <sz val="10"/>
        <color rgb="FF595959"/>
        <rFont val="Noto Sans CJK SC"/>
        <family val="2"/>
      </rPr>
      <t xml:space="preserve">같은 사람의 정자세보다 등받이 총압력이 낮다는 점으로 구분됩니다</t>
    </r>
    <r>
      <rPr>
        <sz val="10"/>
        <color rgb="FF595959"/>
        <rFont val="Malgun Gothic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</si>
</sst>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"/>
    <numFmt numFmtId="167" formatCode="#,##0"/>
    <numFmt numFmtId="168" formatCode="0"/>
    <numFmt numFmtId="169" formatCode="0.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Noto Sans CJK SC"/>
      <family val="2"/>
    </font>
    <font>
      <b val="true"/>
      <sz val="15"/>
      <color rgb="FF1F3864"/>
      <name val="Malgun Gothic"/>
      <family val="0"/>
      <charset val="1"/>
    </font>
    <font>
      <sz val="10"/>
      <color rgb="FF595959"/>
      <name val="Malgun Gothic"/>
      <family val="0"/>
      <charset val="1"/>
    </font>
    <font>
      <sz val="10"/>
      <color rgb="FF595959"/>
      <name val="Noto Sans CJK SC"/>
      <family val="2"/>
    </font>
    <font>
      <b val="true"/>
      <sz val="10"/>
      <name val="Noto Sans CJK SC"/>
      <family val="2"/>
    </font>
    <font>
      <b val="true"/>
      <sz val="10"/>
      <name val="Malgun Gothic"/>
      <family val="0"/>
      <charset val="1"/>
    </font>
    <font>
      <sz val="10"/>
      <name val="Noto Sans CJK SC"/>
      <family val="2"/>
    </font>
    <font>
      <sz val="10"/>
      <name val="Malgun Gothic"/>
      <family val="0"/>
      <charset val="1"/>
    </font>
    <font>
      <b val="true"/>
      <sz val="10"/>
      <color rgb="FFFFFFFF"/>
      <name val="Noto Sans CJK SC"/>
      <family val="2"/>
    </font>
    <font>
      <sz val="10"/>
      <color rgb="FF0000FF"/>
      <name val="Noto Sans CJK SC"/>
      <family val="2"/>
    </font>
    <font>
      <sz val="10"/>
      <color rgb="FF0000FF"/>
      <name val="Malgun Gothic"/>
      <family val="0"/>
      <charset val="1"/>
    </font>
    <font>
      <sz val="10"/>
      <color rgb="FF008000"/>
      <name val="Noto Sans CJK SC"/>
      <family val="2"/>
    </font>
    <font>
      <b val="true"/>
      <sz val="10"/>
      <color rgb="FFFFFFFF"/>
      <name val="Malgun Gothic"/>
      <family val="0"/>
      <charset val="1"/>
    </font>
    <font>
      <sz val="10"/>
      <color rgb="FF008000"/>
      <name val="Malgun Gothic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6" min="5" style="0" width="34"/>
  </cols>
  <sheetData>
    <row r="1" customFormat="false" ht="23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30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</row>
    <row r="6" customFormat="false" ht="18" hidden="false" customHeight="true" outlineLevel="0" collapsed="false">
      <c r="A6" s="4" t="s">
        <v>5</v>
      </c>
      <c r="B6" s="5" t="s">
        <v>6</v>
      </c>
      <c r="C6" s="5"/>
      <c r="D6" s="5"/>
      <c r="E6" s="5"/>
      <c r="F6" s="5"/>
    </row>
    <row r="7" customFormat="false" ht="30" hidden="false" customHeight="true" outlineLevel="0" collapsed="false">
      <c r="A7" s="4" t="s">
        <v>7</v>
      </c>
      <c r="B7" s="5" t="s">
        <v>8</v>
      </c>
      <c r="C7" s="5"/>
      <c r="D7" s="5"/>
      <c r="E7" s="5"/>
      <c r="F7" s="5"/>
    </row>
    <row r="8" customFormat="false" ht="30" hidden="false" customHeight="true" outlineLevel="0" collapsed="false">
      <c r="A8" s="4" t="s">
        <v>9</v>
      </c>
      <c r="B8" s="5" t="s">
        <v>10</v>
      </c>
      <c r="C8" s="5"/>
      <c r="D8" s="5"/>
      <c r="E8" s="5"/>
      <c r="F8" s="5"/>
    </row>
    <row r="9" customFormat="false" ht="30" hidden="false" customHeight="true" outlineLevel="0" collapsed="false">
      <c r="A9" s="4" t="s">
        <v>11</v>
      </c>
      <c r="B9" s="5" t="s">
        <v>12</v>
      </c>
      <c r="C9" s="5"/>
      <c r="D9" s="5"/>
      <c r="E9" s="5"/>
      <c r="F9" s="5"/>
    </row>
    <row r="11" customFormat="false" ht="15" hidden="false" customHeight="false" outlineLevel="0" collapsed="false">
      <c r="A11" s="3" t="s">
        <v>13</v>
      </c>
      <c r="B11" s="3"/>
      <c r="C11" s="3"/>
      <c r="D11" s="3"/>
      <c r="E11" s="3"/>
      <c r="F11" s="3"/>
    </row>
    <row r="12" customFormat="false" ht="31.5" hidden="false" customHeight="true" outlineLevel="0" collapsed="false">
      <c r="A12" s="6" t="s">
        <v>14</v>
      </c>
      <c r="B12" s="6" t="s">
        <v>15</v>
      </c>
      <c r="C12" s="6" t="s">
        <v>16</v>
      </c>
      <c r="D12" s="6" t="s">
        <v>17</v>
      </c>
      <c r="E12" s="6" t="s">
        <v>18</v>
      </c>
      <c r="F12" s="6" t="s">
        <v>19</v>
      </c>
    </row>
    <row r="13" customFormat="false" ht="15" hidden="false" customHeight="false" outlineLevel="0" collapsed="false">
      <c r="A13" s="7" t="n">
        <v>0</v>
      </c>
      <c r="B13" s="7" t="s">
        <v>20</v>
      </c>
      <c r="C13" s="8" t="s">
        <v>21</v>
      </c>
      <c r="D13" s="9" t="s">
        <v>22</v>
      </c>
      <c r="E13" s="10" t="s">
        <v>23</v>
      </c>
      <c r="F13" s="10" t="s">
        <v>23</v>
      </c>
    </row>
    <row r="14" customFormat="false" ht="15" hidden="false" customHeight="false" outlineLevel="0" collapsed="false">
      <c r="A14" s="7" t="n">
        <v>1</v>
      </c>
      <c r="B14" s="7" t="s">
        <v>24</v>
      </c>
      <c r="C14" s="8" t="s">
        <v>25</v>
      </c>
      <c r="D14" s="9" t="s">
        <v>26</v>
      </c>
      <c r="E14" s="10" t="s">
        <v>27</v>
      </c>
      <c r="F14" s="10" t="s">
        <v>28</v>
      </c>
    </row>
    <row r="15" customFormat="false" ht="15" hidden="false" customHeight="false" outlineLevel="0" collapsed="false">
      <c r="A15" s="7" t="n">
        <v>2</v>
      </c>
      <c r="B15" s="7" t="s">
        <v>29</v>
      </c>
      <c r="C15" s="8" t="s">
        <v>30</v>
      </c>
      <c r="D15" s="9" t="s">
        <v>31</v>
      </c>
      <c r="E15" s="10" t="s">
        <v>32</v>
      </c>
      <c r="F15" s="10" t="s">
        <v>33</v>
      </c>
    </row>
    <row r="16" customFormat="false" ht="15" hidden="false" customHeight="false" outlineLevel="0" collapsed="false">
      <c r="A16" s="7" t="n">
        <v>3</v>
      </c>
      <c r="B16" s="7" t="s">
        <v>34</v>
      </c>
      <c r="C16" s="8" t="s">
        <v>35</v>
      </c>
      <c r="D16" s="9" t="s">
        <v>36</v>
      </c>
      <c r="E16" s="10" t="s">
        <v>37</v>
      </c>
      <c r="F16" s="10" t="s">
        <v>38</v>
      </c>
    </row>
    <row r="17" customFormat="false" ht="15" hidden="false" customHeight="false" outlineLevel="0" collapsed="false">
      <c r="A17" s="7" t="n">
        <v>4</v>
      </c>
      <c r="B17" s="7" t="s">
        <v>39</v>
      </c>
      <c r="C17" s="8" t="s">
        <v>40</v>
      </c>
      <c r="D17" s="9" t="s">
        <v>41</v>
      </c>
      <c r="E17" s="10" t="s">
        <v>37</v>
      </c>
      <c r="F17" s="10" t="s">
        <v>42</v>
      </c>
    </row>
    <row r="18" customFormat="false" ht="15" hidden="false" customHeight="false" outlineLevel="0" collapsed="false">
      <c r="A18" s="7" t="n">
        <v>5</v>
      </c>
      <c r="B18" s="7" t="s">
        <v>43</v>
      </c>
      <c r="C18" s="8" t="s">
        <v>44</v>
      </c>
      <c r="D18" s="9" t="s">
        <v>45</v>
      </c>
      <c r="E18" s="10" t="s">
        <v>46</v>
      </c>
      <c r="F18" s="10" t="s">
        <v>47</v>
      </c>
    </row>
    <row r="19" customFormat="false" ht="15" hidden="false" customHeight="false" outlineLevel="0" collapsed="false">
      <c r="A19" s="7" t="n">
        <v>6</v>
      </c>
      <c r="B19" s="7" t="s">
        <v>48</v>
      </c>
      <c r="C19" s="8" t="s">
        <v>49</v>
      </c>
      <c r="D19" s="9" t="s">
        <v>50</v>
      </c>
      <c r="E19" s="10" t="s">
        <v>51</v>
      </c>
      <c r="F19" s="10" t="s">
        <v>52</v>
      </c>
    </row>
    <row r="20" customFormat="false" ht="15" hidden="false" customHeight="false" outlineLevel="0" collapsed="false">
      <c r="A20" s="7" t="n">
        <v>7</v>
      </c>
      <c r="B20" s="7" t="s">
        <v>53</v>
      </c>
      <c r="C20" s="8" t="s">
        <v>54</v>
      </c>
      <c r="D20" s="9" t="s">
        <v>55</v>
      </c>
      <c r="E20" s="10" t="s">
        <v>56</v>
      </c>
      <c r="F20" s="10" t="s">
        <v>57</v>
      </c>
    </row>
    <row r="22" customFormat="false" ht="15" hidden="false" customHeight="false" outlineLevel="0" collapsed="false">
      <c r="A22" s="3" t="s">
        <v>58</v>
      </c>
      <c r="B22" s="3"/>
      <c r="C22" s="3"/>
      <c r="D22" s="3"/>
      <c r="E22" s="3"/>
      <c r="F22" s="3"/>
    </row>
    <row r="23" customFormat="false" ht="30" hidden="false" customHeight="true" outlineLevel="0" collapsed="false">
      <c r="A23" s="11" t="s">
        <v>59</v>
      </c>
      <c r="B23" s="5" t="s">
        <v>60</v>
      </c>
      <c r="C23" s="5"/>
      <c r="D23" s="5"/>
      <c r="E23" s="5"/>
      <c r="F23" s="5"/>
    </row>
    <row r="24" customFormat="false" ht="30" hidden="false" customHeight="true" outlineLevel="0" collapsed="false">
      <c r="A24" s="11" t="s">
        <v>59</v>
      </c>
      <c r="B24" s="5" t="s">
        <v>61</v>
      </c>
      <c r="C24" s="5"/>
      <c r="D24" s="5"/>
      <c r="E24" s="5"/>
      <c r="F24" s="5"/>
    </row>
    <row r="25" customFormat="false" ht="30" hidden="false" customHeight="true" outlineLevel="0" collapsed="false">
      <c r="A25" s="11" t="s">
        <v>59</v>
      </c>
      <c r="B25" s="5" t="s">
        <v>62</v>
      </c>
      <c r="C25" s="5"/>
      <c r="D25" s="5"/>
      <c r="E25" s="5"/>
      <c r="F25" s="5"/>
    </row>
    <row r="27" customFormat="false" ht="15" hidden="false" customHeight="false" outlineLevel="0" collapsed="false">
      <c r="A27" s="3" t="s">
        <v>63</v>
      </c>
      <c r="B27" s="3"/>
      <c r="C27" s="3"/>
      <c r="D27" s="3"/>
      <c r="E27" s="3"/>
      <c r="F27" s="3"/>
    </row>
    <row r="28" customFormat="false" ht="15" hidden="false" customHeight="false" outlineLevel="0" collapsed="false">
      <c r="A28" s="12"/>
      <c r="B28" s="13" t="s">
        <v>64</v>
      </c>
      <c r="C28" s="14" t="s">
        <v>65</v>
      </c>
      <c r="D28" s="14"/>
      <c r="E28" s="14"/>
      <c r="F28" s="14"/>
    </row>
    <row r="29" customFormat="false" ht="15" hidden="false" customHeight="false" outlineLevel="0" collapsed="false">
      <c r="A29" s="12"/>
      <c r="B29" s="13" t="s">
        <v>66</v>
      </c>
      <c r="C29" s="14" t="s">
        <v>67</v>
      </c>
      <c r="D29" s="14"/>
      <c r="E29" s="14"/>
      <c r="F29" s="14"/>
    </row>
    <row r="30" customFormat="false" ht="15" hidden="false" customHeight="false" outlineLevel="0" collapsed="false">
      <c r="A30" s="12"/>
      <c r="B30" s="13" t="s">
        <v>68</v>
      </c>
      <c r="C30" s="14" t="s">
        <v>69</v>
      </c>
      <c r="D30" s="14"/>
      <c r="E30" s="14"/>
      <c r="F30" s="14"/>
    </row>
    <row r="31" customFormat="false" ht="15" hidden="false" customHeight="false" outlineLevel="0" collapsed="false">
      <c r="A31" s="12"/>
      <c r="B31" s="13" t="s">
        <v>70</v>
      </c>
      <c r="C31" s="14" t="s">
        <v>71</v>
      </c>
      <c r="D31" s="14"/>
      <c r="E31" s="14"/>
      <c r="F31" s="14"/>
    </row>
    <row r="32" customFormat="false" ht="15" hidden="false" customHeight="false" outlineLevel="0" collapsed="false">
      <c r="A32" s="12"/>
      <c r="B32" s="13" t="s">
        <v>72</v>
      </c>
      <c r="C32" s="14" t="s">
        <v>73</v>
      </c>
      <c r="D32" s="14"/>
      <c r="E32" s="14"/>
      <c r="F32" s="14"/>
    </row>
    <row r="33" customFormat="false" ht="15" hidden="false" customHeight="false" outlineLevel="0" collapsed="false">
      <c r="A33" s="12"/>
      <c r="B33" s="13" t="s">
        <v>74</v>
      </c>
      <c r="C33" s="14" t="s">
        <v>75</v>
      </c>
      <c r="D33" s="14"/>
      <c r="E33" s="14"/>
      <c r="F33" s="14"/>
    </row>
    <row r="34" customFormat="false" ht="15" hidden="false" customHeight="false" outlineLevel="0" collapsed="false">
      <c r="A34" s="12"/>
      <c r="B34" s="13" t="s">
        <v>76</v>
      </c>
      <c r="C34" s="14" t="s">
        <v>77</v>
      </c>
      <c r="D34" s="14"/>
      <c r="E34" s="14"/>
      <c r="F34" s="14"/>
    </row>
    <row r="35" customFormat="false" ht="15" hidden="false" customHeight="false" outlineLevel="0" collapsed="false">
      <c r="A35" s="12"/>
      <c r="B35" s="13" t="s">
        <v>78</v>
      </c>
      <c r="C35" s="14" t="s">
        <v>79</v>
      </c>
      <c r="D35" s="14"/>
      <c r="E35" s="14"/>
      <c r="F35" s="14"/>
    </row>
    <row r="37" customFormat="false" ht="15" hidden="false" customHeight="false" outlineLevel="0" collapsed="false">
      <c r="A37" s="3" t="s">
        <v>80</v>
      </c>
      <c r="B37" s="3"/>
      <c r="C37" s="3"/>
      <c r="D37" s="3"/>
      <c r="E37" s="3"/>
      <c r="F37" s="3"/>
    </row>
    <row r="38" customFormat="false" ht="15" hidden="false" customHeight="false" outlineLevel="0" collapsed="false">
      <c r="B38" s="15" t="s">
        <v>81</v>
      </c>
      <c r="C38" s="14" t="s">
        <v>82</v>
      </c>
      <c r="D38" s="14"/>
      <c r="E38" s="14"/>
      <c r="F38" s="14"/>
    </row>
    <row r="39" customFormat="false" ht="15" hidden="false" customHeight="false" outlineLevel="0" collapsed="false">
      <c r="B39" s="16" t="s">
        <v>83</v>
      </c>
      <c r="C39" s="14" t="s">
        <v>84</v>
      </c>
      <c r="D39" s="14"/>
      <c r="E39" s="14"/>
      <c r="F39" s="14"/>
    </row>
    <row r="40" customFormat="false" ht="15" hidden="false" customHeight="false" outlineLevel="0" collapsed="false">
      <c r="B40" s="17" t="s">
        <v>85</v>
      </c>
      <c r="C40" s="14" t="s">
        <v>86</v>
      </c>
      <c r="D40" s="14"/>
      <c r="E40" s="14"/>
      <c r="F40" s="14"/>
    </row>
    <row r="41" customFormat="false" ht="15" hidden="false" customHeight="false" outlineLevel="0" collapsed="false">
      <c r="B41" s="18" t="s">
        <v>87</v>
      </c>
      <c r="C41" s="14" t="s">
        <v>88</v>
      </c>
      <c r="D41" s="14"/>
      <c r="E41" s="14"/>
      <c r="F41" s="14"/>
    </row>
    <row r="43" customFormat="false" ht="15" hidden="false" customHeight="false" outlineLevel="0" collapsed="false">
      <c r="A43" s="3" t="s">
        <v>89</v>
      </c>
      <c r="B43" s="3"/>
      <c r="C43" s="3"/>
      <c r="D43" s="3"/>
      <c r="E43" s="3"/>
      <c r="F43" s="3"/>
    </row>
    <row r="44" customFormat="false" ht="18" hidden="false" customHeight="true" outlineLevel="0" collapsed="false">
      <c r="A44" s="11" t="s">
        <v>59</v>
      </c>
      <c r="B44" s="5" t="s">
        <v>90</v>
      </c>
      <c r="C44" s="5"/>
      <c r="D44" s="5"/>
      <c r="E44" s="5"/>
      <c r="F44" s="5"/>
    </row>
    <row r="45" customFormat="false" ht="45" hidden="false" customHeight="true" outlineLevel="0" collapsed="false">
      <c r="A45" s="11" t="s">
        <v>59</v>
      </c>
      <c r="B45" s="5" t="s">
        <v>91</v>
      </c>
      <c r="C45" s="5"/>
      <c r="D45" s="5"/>
      <c r="E45" s="5"/>
      <c r="F45" s="5"/>
    </row>
    <row r="46" customFormat="false" ht="18" hidden="false" customHeight="true" outlineLevel="0" collapsed="false">
      <c r="A46" s="11" t="s">
        <v>59</v>
      </c>
      <c r="B46" s="5" t="s">
        <v>92</v>
      </c>
      <c r="C46" s="5"/>
      <c r="D46" s="5"/>
      <c r="E46" s="5"/>
      <c r="F46" s="5"/>
    </row>
    <row r="47" customFormat="false" ht="30" hidden="false" customHeight="true" outlineLevel="0" collapsed="false">
      <c r="A47" s="11" t="s">
        <v>59</v>
      </c>
      <c r="B47" s="5" t="s">
        <v>93</v>
      </c>
      <c r="C47" s="5"/>
      <c r="D47" s="5"/>
      <c r="E47" s="5"/>
      <c r="F47" s="5"/>
    </row>
    <row r="48" customFormat="false" ht="30" hidden="false" customHeight="true" outlineLevel="0" collapsed="false">
      <c r="A48" s="11" t="s">
        <v>59</v>
      </c>
      <c r="B48" s="5" t="s">
        <v>94</v>
      </c>
      <c r="C48" s="5"/>
      <c r="D48" s="5"/>
      <c r="E48" s="5"/>
      <c r="F48" s="5"/>
    </row>
    <row r="49" customFormat="false" ht="18" hidden="false" customHeight="true" outlineLevel="0" collapsed="false">
      <c r="A49" s="11" t="s">
        <v>59</v>
      </c>
      <c r="B49" s="19" t="s">
        <v>95</v>
      </c>
      <c r="C49" s="19"/>
      <c r="D49" s="19"/>
      <c r="E49" s="19"/>
      <c r="F49" s="19"/>
    </row>
  </sheetData>
  <mergeCells count="32">
    <mergeCell ref="A4:F4"/>
    <mergeCell ref="B5:F5"/>
    <mergeCell ref="B6:F6"/>
    <mergeCell ref="B7:F7"/>
    <mergeCell ref="B8:F8"/>
    <mergeCell ref="B9:F9"/>
    <mergeCell ref="A11:F11"/>
    <mergeCell ref="A22:F22"/>
    <mergeCell ref="B23:F23"/>
    <mergeCell ref="B24:F24"/>
    <mergeCell ref="B25:F25"/>
    <mergeCell ref="A27:F27"/>
    <mergeCell ref="C28:F28"/>
    <mergeCell ref="C29:F29"/>
    <mergeCell ref="C30:F30"/>
    <mergeCell ref="C31:F31"/>
    <mergeCell ref="C32:F32"/>
    <mergeCell ref="C33:F33"/>
    <mergeCell ref="C34:F34"/>
    <mergeCell ref="C35:F35"/>
    <mergeCell ref="A37:F37"/>
    <mergeCell ref="C38:F38"/>
    <mergeCell ref="C39:F39"/>
    <mergeCell ref="C40:F40"/>
    <mergeCell ref="C41:F41"/>
    <mergeCell ref="A43:F43"/>
    <mergeCell ref="B44:F44"/>
    <mergeCell ref="B45:F45"/>
    <mergeCell ref="B46:F46"/>
    <mergeCell ref="B47:F47"/>
    <mergeCell ref="B48:F48"/>
    <mergeCell ref="B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7"/>
    <col collapsed="false" customWidth="true" hidden="false" outlineLevel="0" max="4" min="4" style="0" width="17"/>
    <col collapsed="false" customWidth="true" hidden="false" outlineLevel="0" max="5" min="5" style="0" width="26"/>
    <col collapsed="false" customWidth="true" hidden="false" outlineLevel="0" max="6" min="6" style="0" width="62"/>
    <col collapsed="false" customWidth="true" hidden="false" outlineLevel="0" max="9" min="7" style="0" width="9"/>
    <col collapsed="false" customWidth="true" hidden="false" outlineLevel="0" max="10" min="10" style="0" width="7"/>
    <col collapsed="false" customWidth="true" hidden="false" outlineLevel="0" max="11" min="11" style="0" width="24"/>
  </cols>
  <sheetData>
    <row r="1" customFormat="false" ht="23.1" hidden="false" customHeight="false" outlineLevel="0" collapsed="false">
      <c r="A1" s="1" t="s">
        <v>96</v>
      </c>
    </row>
    <row r="2" customFormat="false" ht="15" hidden="false" customHeight="false" outlineLevel="0" collapsed="false">
      <c r="A2" s="20" t="s">
        <v>97</v>
      </c>
    </row>
    <row r="4" customFormat="false" ht="31.5" hidden="false" customHeight="true" outlineLevel="0" collapsed="false">
      <c r="A4" s="6" t="s">
        <v>98</v>
      </c>
      <c r="B4" s="6" t="s">
        <v>99</v>
      </c>
      <c r="C4" s="6" t="s">
        <v>100</v>
      </c>
      <c r="D4" s="6" t="s">
        <v>101</v>
      </c>
      <c r="E4" s="6" t="s">
        <v>102</v>
      </c>
      <c r="F4" s="6" t="s">
        <v>103</v>
      </c>
      <c r="G4" s="6" t="s">
        <v>104</v>
      </c>
      <c r="H4" s="6" t="s">
        <v>105</v>
      </c>
      <c r="I4" s="6" t="s">
        <v>106</v>
      </c>
      <c r="J4" s="6" t="s">
        <v>107</v>
      </c>
      <c r="K4" s="6" t="s">
        <v>108</v>
      </c>
    </row>
    <row r="5" customFormat="false" ht="45" hidden="false" customHeight="true" outlineLevel="0" collapsed="false">
      <c r="A5" s="21" t="s">
        <v>109</v>
      </c>
      <c r="B5" s="22" t="s">
        <v>110</v>
      </c>
      <c r="C5" s="22" t="s">
        <v>111</v>
      </c>
      <c r="D5" s="23" t="str">
        <f aca="false">'분류 기준'!$C$5&amp;"cm 미만"</f>
        <v>158cm 미만</v>
      </c>
      <c r="E5" s="23" t="str">
        <f aca="false">"BMI "&amp;'분류 기준'!$C$9&amp;" 미만"</f>
        <v>BMI 18.5 미만</v>
      </c>
      <c r="F5" s="10" t="s">
        <v>112</v>
      </c>
      <c r="G5" s="24" t="n">
        <v>1</v>
      </c>
      <c r="H5" s="24" t="n">
        <v>1</v>
      </c>
      <c r="I5" s="23" t="n">
        <f aca="false">COUNTIF('참가자 명단'!$H$6:$H$55,$A5)+COUNTIF('참가자 명단'!$I$6:$I$55,$A5)</f>
        <v>0</v>
      </c>
      <c r="J5" s="22" t="n">
        <f aca="false">MAX(0,H5-I5)</f>
        <v>1</v>
      </c>
      <c r="K5" s="9"/>
    </row>
    <row r="6" customFormat="false" ht="30" hidden="false" customHeight="true" outlineLevel="0" collapsed="false">
      <c r="A6" s="21" t="s">
        <v>113</v>
      </c>
      <c r="B6" s="22" t="s">
        <v>110</v>
      </c>
      <c r="C6" s="22" t="s">
        <v>111</v>
      </c>
      <c r="D6" s="23" t="str">
        <f aca="false">'분류 기준'!$C$5&amp;"cm 미만"</f>
        <v>158cm 미만</v>
      </c>
      <c r="E6" s="23" t="str">
        <f aca="false">"BMI "&amp;'분류 기준'!$C$9&amp;"~"&amp;'분류 기준'!$C$10&amp;" 미만"</f>
        <v>BMI 18.5~23 미만</v>
      </c>
      <c r="F6" s="10" t="s">
        <v>114</v>
      </c>
      <c r="G6" s="24" t="n">
        <v>2</v>
      </c>
      <c r="H6" s="24" t="n">
        <v>1</v>
      </c>
      <c r="I6" s="23" t="n">
        <f aca="false">COUNTIF('참가자 명단'!$H$6:$H$55,$A6)+COUNTIF('참가자 명단'!$I$6:$I$55,$A6)</f>
        <v>0</v>
      </c>
      <c r="J6" s="22" t="n">
        <f aca="false">MAX(0,H6-I6)</f>
        <v>1</v>
      </c>
      <c r="K6" s="9"/>
    </row>
    <row r="7" customFormat="false" ht="45" hidden="false" customHeight="true" outlineLevel="0" collapsed="false">
      <c r="A7" s="21" t="s">
        <v>115</v>
      </c>
      <c r="B7" s="22" t="s">
        <v>110</v>
      </c>
      <c r="C7" s="22" t="s">
        <v>111</v>
      </c>
      <c r="D7" s="23" t="str">
        <f aca="false">'분류 기준'!$C$5&amp;"cm 미만"</f>
        <v>158cm 미만</v>
      </c>
      <c r="E7" s="23" t="str">
        <f aca="false">"BMI "&amp;'분류 기준'!$C$10&amp;" 이상"</f>
        <v>BMI 23 이상</v>
      </c>
      <c r="F7" s="10" t="s">
        <v>116</v>
      </c>
      <c r="G7" s="24" t="n">
        <v>2</v>
      </c>
      <c r="H7" s="24" t="n">
        <v>1</v>
      </c>
      <c r="I7" s="23" t="n">
        <f aca="false">COUNTIF('참가자 명단'!$H$6:$H$55,$A7)+COUNTIF('참가자 명단'!$I$6:$I$55,$A7)</f>
        <v>0</v>
      </c>
      <c r="J7" s="22" t="n">
        <f aca="false">MAX(0,H7-I7)</f>
        <v>1</v>
      </c>
      <c r="K7" s="9"/>
    </row>
    <row r="8" customFormat="false" ht="30" hidden="false" customHeight="true" outlineLevel="0" collapsed="false">
      <c r="A8" s="21" t="s">
        <v>117</v>
      </c>
      <c r="B8" s="22" t="s">
        <v>110</v>
      </c>
      <c r="C8" s="22" t="s">
        <v>111</v>
      </c>
      <c r="D8" s="23" t="str">
        <f aca="false">'분류 기준'!$C$5&amp;"~"&amp;'분류 기준'!$D$5&amp;"cm 미만"</f>
        <v>158~165cm 미만</v>
      </c>
      <c r="E8" s="23" t="str">
        <f aca="false">"BMI "&amp;'분류 기준'!$C$9&amp;" 미만"</f>
        <v>BMI 18.5 미만</v>
      </c>
      <c r="F8" s="10" t="s">
        <v>118</v>
      </c>
      <c r="G8" s="24" t="n">
        <v>2</v>
      </c>
      <c r="H8" s="24" t="n">
        <v>1</v>
      </c>
      <c r="I8" s="23" t="n">
        <f aca="false">COUNTIF('참가자 명단'!$H$6:$H$55,$A8)+COUNTIF('참가자 명단'!$I$6:$I$55,$A8)</f>
        <v>0</v>
      </c>
      <c r="J8" s="22" t="n">
        <f aca="false">MAX(0,H8-I8)</f>
        <v>1</v>
      </c>
      <c r="K8" s="9"/>
    </row>
    <row r="9" customFormat="false" ht="18" hidden="false" customHeight="true" outlineLevel="0" collapsed="false">
      <c r="A9" s="21" t="s">
        <v>119</v>
      </c>
      <c r="B9" s="22" t="s">
        <v>110</v>
      </c>
      <c r="C9" s="22" t="s">
        <v>111</v>
      </c>
      <c r="D9" s="23" t="str">
        <f aca="false">'분류 기준'!$C$5&amp;"~"&amp;'분류 기준'!$D$5&amp;"cm 미만"</f>
        <v>158~165cm 미만</v>
      </c>
      <c r="E9" s="23" t="str">
        <f aca="false">"BMI "&amp;'분류 기준'!$C$9&amp;"~"&amp;'분류 기준'!$C$10&amp;" 미만"</f>
        <v>BMI 18.5~23 미만</v>
      </c>
      <c r="F9" s="10" t="s">
        <v>120</v>
      </c>
      <c r="G9" s="24" t="n">
        <v>1</v>
      </c>
      <c r="H9" s="24" t="n">
        <v>1</v>
      </c>
      <c r="I9" s="23" t="n">
        <f aca="false">COUNTIF('참가자 명단'!$H$6:$H$55,$A9)+COUNTIF('참가자 명단'!$I$6:$I$55,$A9)</f>
        <v>0</v>
      </c>
      <c r="J9" s="22" t="n">
        <f aca="false">MAX(0,H9-I9)</f>
        <v>1</v>
      </c>
      <c r="K9" s="9"/>
    </row>
    <row r="10" customFormat="false" ht="30" hidden="false" customHeight="true" outlineLevel="0" collapsed="false">
      <c r="A10" s="21" t="s">
        <v>121</v>
      </c>
      <c r="B10" s="22" t="s">
        <v>110</v>
      </c>
      <c r="C10" s="22" t="s">
        <v>111</v>
      </c>
      <c r="D10" s="23" t="str">
        <f aca="false">'분류 기준'!$C$5&amp;"~"&amp;'분류 기준'!$D$5&amp;"cm 미만"</f>
        <v>158~165cm 미만</v>
      </c>
      <c r="E10" s="23" t="str">
        <f aca="false">"BMI "&amp;'분류 기준'!$C$10&amp;" 이상"</f>
        <v>BMI 23 이상</v>
      </c>
      <c r="F10" s="10" t="s">
        <v>122</v>
      </c>
      <c r="G10" s="24" t="n">
        <v>2</v>
      </c>
      <c r="H10" s="24" t="n">
        <v>1</v>
      </c>
      <c r="I10" s="23" t="n">
        <f aca="false">COUNTIF('참가자 명단'!$H$6:$H$55,$A10)+COUNTIF('참가자 명단'!$I$6:$I$55,$A10)</f>
        <v>0</v>
      </c>
      <c r="J10" s="22" t="n">
        <f aca="false">MAX(0,H10-I10)</f>
        <v>1</v>
      </c>
      <c r="K10" s="9"/>
    </row>
    <row r="11" customFormat="false" ht="45" hidden="false" customHeight="true" outlineLevel="0" collapsed="false">
      <c r="A11" s="21" t="s">
        <v>123</v>
      </c>
      <c r="B11" s="22" t="s">
        <v>110</v>
      </c>
      <c r="C11" s="22" t="s">
        <v>111</v>
      </c>
      <c r="D11" s="23" t="str">
        <f aca="false">'분류 기준'!$D$5&amp;"cm 이상"</f>
        <v>165cm 이상</v>
      </c>
      <c r="E11" s="23" t="str">
        <f aca="false">"BMI "&amp;'분류 기준'!$C$9&amp;" 미만"</f>
        <v>BMI 18.5 미만</v>
      </c>
      <c r="F11" s="10" t="s">
        <v>124</v>
      </c>
      <c r="G11" s="24" t="n">
        <v>2</v>
      </c>
      <c r="H11" s="24" t="n">
        <v>1</v>
      </c>
      <c r="I11" s="23" t="n">
        <f aca="false">COUNTIF('참가자 명단'!$H$6:$H$55,$A11)+COUNTIF('참가자 명단'!$I$6:$I$55,$A11)</f>
        <v>0</v>
      </c>
      <c r="J11" s="22" t="n">
        <f aca="false">MAX(0,H11-I11)</f>
        <v>1</v>
      </c>
      <c r="K11" s="9"/>
    </row>
    <row r="12" customFormat="false" ht="30" hidden="false" customHeight="true" outlineLevel="0" collapsed="false">
      <c r="A12" s="21" t="s">
        <v>125</v>
      </c>
      <c r="B12" s="22" t="s">
        <v>110</v>
      </c>
      <c r="C12" s="22" t="s">
        <v>111</v>
      </c>
      <c r="D12" s="23" t="str">
        <f aca="false">'분류 기준'!$D$5&amp;"cm 이상"</f>
        <v>165cm 이상</v>
      </c>
      <c r="E12" s="23" t="str">
        <f aca="false">"BMI "&amp;'분류 기준'!$C$9&amp;"~"&amp;'분류 기준'!$C$10&amp;" 미만"</f>
        <v>BMI 18.5~23 미만</v>
      </c>
      <c r="F12" s="10" t="s">
        <v>126</v>
      </c>
      <c r="G12" s="24" t="n">
        <v>2</v>
      </c>
      <c r="H12" s="24" t="n">
        <v>1</v>
      </c>
      <c r="I12" s="23" t="n">
        <f aca="false">COUNTIF('참가자 명단'!$H$6:$H$55,$A12)+COUNTIF('참가자 명단'!$I$6:$I$55,$A12)</f>
        <v>0</v>
      </c>
      <c r="J12" s="22" t="n">
        <f aca="false">MAX(0,H12-I12)</f>
        <v>1</v>
      </c>
      <c r="K12" s="9"/>
    </row>
    <row r="13" customFormat="false" ht="45" hidden="false" customHeight="true" outlineLevel="0" collapsed="false">
      <c r="A13" s="21" t="s">
        <v>127</v>
      </c>
      <c r="B13" s="22" t="s">
        <v>110</v>
      </c>
      <c r="C13" s="22" t="s">
        <v>111</v>
      </c>
      <c r="D13" s="23" t="str">
        <f aca="false">'분류 기준'!$D$5&amp;"cm 이상"</f>
        <v>165cm 이상</v>
      </c>
      <c r="E13" s="23" t="str">
        <f aca="false">"BMI "&amp;'분류 기준'!$C$10&amp;" 이상"</f>
        <v>BMI 23 이상</v>
      </c>
      <c r="F13" s="10" t="s">
        <v>128</v>
      </c>
      <c r="G13" s="24" t="n">
        <v>1</v>
      </c>
      <c r="H13" s="24" t="n">
        <v>1</v>
      </c>
      <c r="I13" s="23" t="n">
        <f aca="false">COUNTIF('참가자 명단'!$H$6:$H$55,$A13)+COUNTIF('참가자 명단'!$I$6:$I$55,$A13)</f>
        <v>0</v>
      </c>
      <c r="J13" s="22" t="n">
        <f aca="false">MAX(0,H13-I13)</f>
        <v>1</v>
      </c>
      <c r="K13" s="9"/>
    </row>
    <row r="14" customFormat="false" ht="45" hidden="false" customHeight="true" outlineLevel="0" collapsed="false">
      <c r="A14" s="21" t="s">
        <v>129</v>
      </c>
      <c r="B14" s="22" t="s">
        <v>110</v>
      </c>
      <c r="C14" s="22" t="s">
        <v>130</v>
      </c>
      <c r="D14" s="23" t="str">
        <f aca="false">'분류 기준'!$C$6&amp;"cm 미만"</f>
        <v>170cm 미만</v>
      </c>
      <c r="E14" s="23" t="str">
        <f aca="false">"BMI "&amp;'분류 기준'!$C$9&amp;" 미만"</f>
        <v>BMI 18.5 미만</v>
      </c>
      <c r="F14" s="10" t="s">
        <v>112</v>
      </c>
      <c r="G14" s="24" t="n">
        <v>1</v>
      </c>
      <c r="H14" s="24" t="n">
        <v>1</v>
      </c>
      <c r="I14" s="23" t="n">
        <f aca="false">COUNTIF('참가자 명단'!$H$6:$H$55,$A14)+COUNTIF('참가자 명단'!$I$6:$I$55,$A14)</f>
        <v>0</v>
      </c>
      <c r="J14" s="22" t="n">
        <f aca="false">MAX(0,H14-I14)</f>
        <v>1</v>
      </c>
      <c r="K14" s="9"/>
    </row>
    <row r="15" customFormat="false" ht="30" hidden="false" customHeight="true" outlineLevel="0" collapsed="false">
      <c r="A15" s="21" t="s">
        <v>131</v>
      </c>
      <c r="B15" s="22" t="s">
        <v>110</v>
      </c>
      <c r="C15" s="22" t="s">
        <v>130</v>
      </c>
      <c r="D15" s="23" t="str">
        <f aca="false">'분류 기준'!$C$6&amp;"cm 미만"</f>
        <v>170cm 미만</v>
      </c>
      <c r="E15" s="23" t="str">
        <f aca="false">"BMI "&amp;'분류 기준'!$C$9&amp;"~"&amp;'분류 기준'!$C$10&amp;" 미만"</f>
        <v>BMI 18.5~23 미만</v>
      </c>
      <c r="F15" s="10" t="s">
        <v>114</v>
      </c>
      <c r="G15" s="24" t="n">
        <v>2</v>
      </c>
      <c r="H15" s="24" t="n">
        <v>1</v>
      </c>
      <c r="I15" s="23" t="n">
        <f aca="false">COUNTIF('참가자 명단'!$H$6:$H$55,$A15)+COUNTIF('참가자 명단'!$I$6:$I$55,$A15)</f>
        <v>0</v>
      </c>
      <c r="J15" s="22" t="n">
        <f aca="false">MAX(0,H15-I15)</f>
        <v>1</v>
      </c>
      <c r="K15" s="9"/>
    </row>
    <row r="16" customFormat="false" ht="45" hidden="false" customHeight="true" outlineLevel="0" collapsed="false">
      <c r="A16" s="21" t="s">
        <v>132</v>
      </c>
      <c r="B16" s="22" t="s">
        <v>110</v>
      </c>
      <c r="C16" s="22" t="s">
        <v>130</v>
      </c>
      <c r="D16" s="23" t="str">
        <f aca="false">'분류 기준'!$C$6&amp;"cm 미만"</f>
        <v>170cm 미만</v>
      </c>
      <c r="E16" s="23" t="str">
        <f aca="false">"BMI "&amp;'분류 기준'!$C$10&amp;" 이상"</f>
        <v>BMI 23 이상</v>
      </c>
      <c r="F16" s="10" t="s">
        <v>116</v>
      </c>
      <c r="G16" s="24" t="n">
        <v>2</v>
      </c>
      <c r="H16" s="24" t="n">
        <v>1</v>
      </c>
      <c r="I16" s="23" t="n">
        <f aca="false">COUNTIF('참가자 명단'!$H$6:$H$55,$A16)+COUNTIF('참가자 명단'!$I$6:$I$55,$A16)</f>
        <v>0</v>
      </c>
      <c r="J16" s="22" t="n">
        <f aca="false">MAX(0,H16-I16)</f>
        <v>1</v>
      </c>
      <c r="K16" s="9"/>
    </row>
    <row r="17" customFormat="false" ht="30" hidden="false" customHeight="true" outlineLevel="0" collapsed="false">
      <c r="A17" s="21" t="s">
        <v>133</v>
      </c>
      <c r="B17" s="22" t="s">
        <v>110</v>
      </c>
      <c r="C17" s="22" t="s">
        <v>130</v>
      </c>
      <c r="D17" s="23" t="str">
        <f aca="false">'분류 기준'!$C$6&amp;"~"&amp;'분류 기준'!$D$6&amp;"cm 미만"</f>
        <v>170~178cm 미만</v>
      </c>
      <c r="E17" s="23" t="str">
        <f aca="false">"BMI "&amp;'분류 기준'!$C$9&amp;" 미만"</f>
        <v>BMI 18.5 미만</v>
      </c>
      <c r="F17" s="10" t="s">
        <v>118</v>
      </c>
      <c r="G17" s="24" t="n">
        <v>2</v>
      </c>
      <c r="H17" s="24" t="n">
        <v>1</v>
      </c>
      <c r="I17" s="23" t="n">
        <f aca="false">COUNTIF('참가자 명단'!$H$6:$H$55,$A17)+COUNTIF('참가자 명단'!$I$6:$I$55,$A17)</f>
        <v>0</v>
      </c>
      <c r="J17" s="22" t="n">
        <f aca="false">MAX(0,H17-I17)</f>
        <v>1</v>
      </c>
      <c r="K17" s="9"/>
    </row>
    <row r="18" customFormat="false" ht="18" hidden="false" customHeight="true" outlineLevel="0" collapsed="false">
      <c r="A18" s="21" t="s">
        <v>134</v>
      </c>
      <c r="B18" s="22" t="s">
        <v>110</v>
      </c>
      <c r="C18" s="22" t="s">
        <v>130</v>
      </c>
      <c r="D18" s="23" t="str">
        <f aca="false">'분류 기준'!$C$6&amp;"~"&amp;'분류 기준'!$D$6&amp;"cm 미만"</f>
        <v>170~178cm 미만</v>
      </c>
      <c r="E18" s="23" t="str">
        <f aca="false">"BMI "&amp;'분류 기준'!$C$9&amp;"~"&amp;'분류 기준'!$C$10&amp;" 미만"</f>
        <v>BMI 18.5~23 미만</v>
      </c>
      <c r="F18" s="10" t="s">
        <v>120</v>
      </c>
      <c r="G18" s="24" t="n">
        <v>1</v>
      </c>
      <c r="H18" s="24" t="n">
        <v>1</v>
      </c>
      <c r="I18" s="23" t="n">
        <f aca="false">COUNTIF('참가자 명단'!$H$6:$H$55,$A18)+COUNTIF('참가자 명단'!$I$6:$I$55,$A18)</f>
        <v>0</v>
      </c>
      <c r="J18" s="22" t="n">
        <f aca="false">MAX(0,H18-I18)</f>
        <v>1</v>
      </c>
      <c r="K18" s="9"/>
    </row>
    <row r="19" customFormat="false" ht="30" hidden="false" customHeight="true" outlineLevel="0" collapsed="false">
      <c r="A19" s="21" t="s">
        <v>135</v>
      </c>
      <c r="B19" s="22" t="s">
        <v>110</v>
      </c>
      <c r="C19" s="22" t="s">
        <v>130</v>
      </c>
      <c r="D19" s="23" t="str">
        <f aca="false">'분류 기준'!$C$6&amp;"~"&amp;'분류 기준'!$D$6&amp;"cm 미만"</f>
        <v>170~178cm 미만</v>
      </c>
      <c r="E19" s="23" t="str">
        <f aca="false">"BMI "&amp;'분류 기준'!$C$10&amp;" 이상"</f>
        <v>BMI 23 이상</v>
      </c>
      <c r="F19" s="10" t="s">
        <v>122</v>
      </c>
      <c r="G19" s="24" t="n">
        <v>2</v>
      </c>
      <c r="H19" s="24" t="n">
        <v>1</v>
      </c>
      <c r="I19" s="23" t="n">
        <f aca="false">COUNTIF('참가자 명단'!$H$6:$H$55,$A19)+COUNTIF('참가자 명단'!$I$6:$I$55,$A19)</f>
        <v>0</v>
      </c>
      <c r="J19" s="22" t="n">
        <f aca="false">MAX(0,H19-I19)</f>
        <v>1</v>
      </c>
      <c r="K19" s="9"/>
    </row>
    <row r="20" customFormat="false" ht="45" hidden="false" customHeight="true" outlineLevel="0" collapsed="false">
      <c r="A20" s="21" t="s">
        <v>136</v>
      </c>
      <c r="B20" s="22" t="s">
        <v>110</v>
      </c>
      <c r="C20" s="22" t="s">
        <v>130</v>
      </c>
      <c r="D20" s="23" t="str">
        <f aca="false">'분류 기준'!$D$6&amp;"cm 이상"</f>
        <v>178cm 이상</v>
      </c>
      <c r="E20" s="23" t="str">
        <f aca="false">"BMI "&amp;'분류 기준'!$C$9&amp;" 미만"</f>
        <v>BMI 18.5 미만</v>
      </c>
      <c r="F20" s="10" t="s">
        <v>124</v>
      </c>
      <c r="G20" s="24" t="n">
        <v>2</v>
      </c>
      <c r="H20" s="24" t="n">
        <v>1</v>
      </c>
      <c r="I20" s="23" t="n">
        <f aca="false">COUNTIF('참가자 명단'!$H$6:$H$55,$A20)+COUNTIF('참가자 명단'!$I$6:$I$55,$A20)</f>
        <v>0</v>
      </c>
      <c r="J20" s="22" t="n">
        <f aca="false">MAX(0,H20-I20)</f>
        <v>1</v>
      </c>
      <c r="K20" s="9"/>
    </row>
    <row r="21" customFormat="false" ht="30" hidden="false" customHeight="true" outlineLevel="0" collapsed="false">
      <c r="A21" s="21" t="s">
        <v>137</v>
      </c>
      <c r="B21" s="22" t="s">
        <v>110</v>
      </c>
      <c r="C21" s="22" t="s">
        <v>130</v>
      </c>
      <c r="D21" s="23" t="str">
        <f aca="false">'분류 기준'!$D$6&amp;"cm 이상"</f>
        <v>178cm 이상</v>
      </c>
      <c r="E21" s="23" t="str">
        <f aca="false">"BMI "&amp;'분류 기준'!$C$9&amp;"~"&amp;'분류 기준'!$C$10&amp;" 미만"</f>
        <v>BMI 18.5~23 미만</v>
      </c>
      <c r="F21" s="10" t="s">
        <v>126</v>
      </c>
      <c r="G21" s="24" t="n">
        <v>2</v>
      </c>
      <c r="H21" s="24" t="n">
        <v>1</v>
      </c>
      <c r="I21" s="23" t="n">
        <f aca="false">COUNTIF('참가자 명단'!$H$6:$H$55,$A21)+COUNTIF('참가자 명단'!$I$6:$I$55,$A21)</f>
        <v>0</v>
      </c>
      <c r="J21" s="22" t="n">
        <f aca="false">MAX(0,H21-I21)</f>
        <v>1</v>
      </c>
      <c r="K21" s="9"/>
    </row>
    <row r="22" customFormat="false" ht="45" hidden="false" customHeight="true" outlineLevel="0" collapsed="false">
      <c r="A22" s="21" t="s">
        <v>138</v>
      </c>
      <c r="B22" s="22" t="s">
        <v>110</v>
      </c>
      <c r="C22" s="22" t="s">
        <v>130</v>
      </c>
      <c r="D22" s="23" t="str">
        <f aca="false">'분류 기준'!$D$6&amp;"cm 이상"</f>
        <v>178cm 이상</v>
      </c>
      <c r="E22" s="23" t="str">
        <f aca="false">"BMI "&amp;'분류 기준'!$C$10&amp;" 이상"</f>
        <v>BMI 23 이상</v>
      </c>
      <c r="F22" s="10" t="s">
        <v>128</v>
      </c>
      <c r="G22" s="24" t="n">
        <v>1</v>
      </c>
      <c r="H22" s="24" t="n">
        <v>1</v>
      </c>
      <c r="I22" s="23" t="n">
        <f aca="false">COUNTIF('참가자 명단'!$H$6:$H$55,$A22)+COUNTIF('참가자 명단'!$I$6:$I$55,$A22)</f>
        <v>1</v>
      </c>
      <c r="J22" s="22" t="n">
        <f aca="false">MAX(0,H22-I22)</f>
        <v>0</v>
      </c>
      <c r="K22" s="9"/>
    </row>
    <row r="23" customFormat="false" ht="30" hidden="false" customHeight="true" outlineLevel="0" collapsed="false">
      <c r="A23" s="21" t="s">
        <v>139</v>
      </c>
      <c r="B23" s="22" t="s">
        <v>140</v>
      </c>
      <c r="C23" s="22" t="s">
        <v>111</v>
      </c>
      <c r="D23" s="7" t="s">
        <v>141</v>
      </c>
      <c r="E23" s="10" t="s">
        <v>142</v>
      </c>
      <c r="F23" s="10" t="s">
        <v>143</v>
      </c>
      <c r="G23" s="24" t="n">
        <v>3</v>
      </c>
      <c r="H23" s="24" t="n">
        <v>1</v>
      </c>
      <c r="I23" s="23" t="n">
        <f aca="false">COUNTIF('참가자 명단'!$H$6:$H$55,$A23)+COUNTIF('참가자 명단'!$I$6:$I$55,$A23)</f>
        <v>0</v>
      </c>
      <c r="J23" s="22" t="n">
        <f aca="false">MAX(0,H23-I23)</f>
        <v>1</v>
      </c>
      <c r="K23" s="9"/>
    </row>
    <row r="24" customFormat="false" ht="18" hidden="false" customHeight="true" outlineLevel="0" collapsed="false">
      <c r="A24" s="21" t="s">
        <v>144</v>
      </c>
      <c r="B24" s="22" t="s">
        <v>140</v>
      </c>
      <c r="C24" s="22" t="s">
        <v>111</v>
      </c>
      <c r="D24" s="7" t="s">
        <v>145</v>
      </c>
      <c r="E24" s="10" t="s">
        <v>142</v>
      </c>
      <c r="F24" s="10" t="s">
        <v>146</v>
      </c>
      <c r="G24" s="24" t="n">
        <v>3</v>
      </c>
      <c r="H24" s="24" t="n">
        <v>1</v>
      </c>
      <c r="I24" s="23" t="n">
        <f aca="false">COUNTIF('참가자 명단'!$H$6:$H$55,$A24)+COUNTIF('참가자 명단'!$I$6:$I$55,$A24)</f>
        <v>0</v>
      </c>
      <c r="J24" s="22" t="n">
        <f aca="false">MAX(0,H24-I24)</f>
        <v>1</v>
      </c>
      <c r="K24" s="9"/>
    </row>
    <row r="25" customFormat="false" ht="18" hidden="false" customHeight="true" outlineLevel="0" collapsed="false">
      <c r="A25" s="21" t="s">
        <v>147</v>
      </c>
      <c r="B25" s="22" t="s">
        <v>140</v>
      </c>
      <c r="C25" s="22" t="s">
        <v>130</v>
      </c>
      <c r="D25" s="7" t="s">
        <v>148</v>
      </c>
      <c r="E25" s="10" t="s">
        <v>142</v>
      </c>
      <c r="F25" s="10" t="s">
        <v>149</v>
      </c>
      <c r="G25" s="24" t="n">
        <v>3</v>
      </c>
      <c r="H25" s="24" t="n">
        <v>1</v>
      </c>
      <c r="I25" s="23" t="n">
        <f aca="false">COUNTIF('참가자 명단'!$H$6:$H$55,$A25)+COUNTIF('참가자 명단'!$I$6:$I$55,$A25)</f>
        <v>0</v>
      </c>
      <c r="J25" s="22" t="n">
        <f aca="false">MAX(0,H25-I25)</f>
        <v>1</v>
      </c>
      <c r="K25" s="9"/>
    </row>
    <row r="26" customFormat="false" ht="18" hidden="false" customHeight="true" outlineLevel="0" collapsed="false">
      <c r="A26" s="21" t="s">
        <v>150</v>
      </c>
      <c r="B26" s="22" t="s">
        <v>140</v>
      </c>
      <c r="C26" s="22" t="s">
        <v>130</v>
      </c>
      <c r="D26" s="7" t="s">
        <v>151</v>
      </c>
      <c r="E26" s="10" t="s">
        <v>142</v>
      </c>
      <c r="F26" s="10" t="s">
        <v>152</v>
      </c>
      <c r="G26" s="24" t="n">
        <v>3</v>
      </c>
      <c r="H26" s="24" t="n">
        <v>1</v>
      </c>
      <c r="I26" s="23" t="n">
        <f aca="false">COUNTIF('참가자 명단'!$H$6:$H$55,$A26)+COUNTIF('참가자 명단'!$I$6:$I$55,$A26)</f>
        <v>0</v>
      </c>
      <c r="J26" s="22" t="n">
        <f aca="false">MAX(0,H26-I26)</f>
        <v>1</v>
      </c>
      <c r="K26" s="9"/>
    </row>
    <row r="27" customFormat="false" ht="18" hidden="false" customHeight="true" outlineLevel="0" collapsed="false">
      <c r="A27" s="21" t="s">
        <v>153</v>
      </c>
      <c r="B27" s="22" t="s">
        <v>140</v>
      </c>
      <c r="C27" s="22" t="s">
        <v>111</v>
      </c>
      <c r="D27" s="22" t="s">
        <v>142</v>
      </c>
      <c r="E27" s="25" t="s">
        <v>154</v>
      </c>
      <c r="F27" s="10" t="s">
        <v>155</v>
      </c>
      <c r="G27" s="24" t="n">
        <v>3</v>
      </c>
      <c r="H27" s="24" t="n">
        <v>1</v>
      </c>
      <c r="I27" s="23" t="n">
        <f aca="false">COUNTIF('참가자 명단'!$H$6:$H$55,$A27)+COUNTIF('참가자 명단'!$I$6:$I$55,$A27)</f>
        <v>0</v>
      </c>
      <c r="J27" s="22" t="n">
        <f aca="false">MAX(0,H27-I27)</f>
        <v>1</v>
      </c>
      <c r="K27" s="9"/>
    </row>
    <row r="28" customFormat="false" ht="18" hidden="false" customHeight="true" outlineLevel="0" collapsed="false">
      <c r="A28" s="21" t="s">
        <v>156</v>
      </c>
      <c r="B28" s="22" t="s">
        <v>140</v>
      </c>
      <c r="C28" s="22" t="s">
        <v>130</v>
      </c>
      <c r="D28" s="22" t="s">
        <v>142</v>
      </c>
      <c r="E28" s="25" t="s">
        <v>154</v>
      </c>
      <c r="F28" s="10" t="s">
        <v>155</v>
      </c>
      <c r="G28" s="24" t="n">
        <v>3</v>
      </c>
      <c r="H28" s="24" t="n">
        <v>1</v>
      </c>
      <c r="I28" s="23" t="n">
        <f aca="false">COUNTIF('참가자 명단'!$H$6:$H$55,$A28)+COUNTIF('참가자 명단'!$I$6:$I$55,$A28)</f>
        <v>0</v>
      </c>
      <c r="J28" s="22" t="n">
        <f aca="false">MAX(0,H28-I28)</f>
        <v>1</v>
      </c>
      <c r="K28" s="9"/>
    </row>
    <row r="29" customFormat="false" ht="18" hidden="false" customHeight="true" outlineLevel="0" collapsed="false">
      <c r="A29" s="21" t="s">
        <v>157</v>
      </c>
      <c r="B29" s="22" t="s">
        <v>140</v>
      </c>
      <c r="C29" s="22" t="s">
        <v>111</v>
      </c>
      <c r="D29" s="22" t="s">
        <v>142</v>
      </c>
      <c r="E29" s="25" t="s">
        <v>158</v>
      </c>
      <c r="F29" s="10" t="s">
        <v>159</v>
      </c>
      <c r="G29" s="24" t="n">
        <v>3</v>
      </c>
      <c r="H29" s="24" t="n">
        <v>1</v>
      </c>
      <c r="I29" s="23" t="n">
        <f aca="false">COUNTIF('참가자 명단'!$H$6:$H$55,$A29)+COUNTIF('참가자 명단'!$I$6:$I$55,$A29)</f>
        <v>0</v>
      </c>
      <c r="J29" s="22" t="n">
        <f aca="false">MAX(0,H29-I29)</f>
        <v>1</v>
      </c>
      <c r="K29" s="9"/>
    </row>
    <row r="30" customFormat="false" ht="30" hidden="false" customHeight="true" outlineLevel="0" collapsed="false">
      <c r="A30" s="21" t="s">
        <v>160</v>
      </c>
      <c r="B30" s="22" t="s">
        <v>140</v>
      </c>
      <c r="C30" s="22" t="s">
        <v>130</v>
      </c>
      <c r="D30" s="22" t="s">
        <v>142</v>
      </c>
      <c r="E30" s="25" t="s">
        <v>158</v>
      </c>
      <c r="F30" s="10" t="s">
        <v>161</v>
      </c>
      <c r="G30" s="24" t="n">
        <v>3</v>
      </c>
      <c r="H30" s="24" t="n">
        <v>1</v>
      </c>
      <c r="I30" s="23" t="n">
        <f aca="false">COUNTIF('참가자 명단'!$H$6:$H$55,$A30)+COUNTIF('참가자 명단'!$I$6:$I$55,$A30)</f>
        <v>0</v>
      </c>
      <c r="J30" s="22" t="n">
        <f aca="false">MAX(0,H30-I30)</f>
        <v>1</v>
      </c>
      <c r="K30" s="9"/>
    </row>
    <row r="31" customFormat="false" ht="30" hidden="false" customHeight="true" outlineLevel="0" collapsed="false">
      <c r="A31" s="21" t="s">
        <v>162</v>
      </c>
      <c r="B31" s="22" t="s">
        <v>140</v>
      </c>
      <c r="C31" s="22" t="s">
        <v>163</v>
      </c>
      <c r="D31" s="22" t="s">
        <v>163</v>
      </c>
      <c r="E31" s="10" t="s">
        <v>164</v>
      </c>
      <c r="F31" s="10" t="s">
        <v>165</v>
      </c>
      <c r="G31" s="24" t="n">
        <v>2</v>
      </c>
      <c r="H31" s="24" t="n">
        <v>1</v>
      </c>
      <c r="I31" s="23" t="n">
        <f aca="false">COUNTIF('참가자 명단'!$H$6:$H$55,$A31)+COUNTIF('참가자 명단'!$I$6:$I$55,$A31)</f>
        <v>0</v>
      </c>
      <c r="J31" s="22" t="n">
        <f aca="false">MAX(0,H31-I31)</f>
        <v>1</v>
      </c>
      <c r="K31" s="9"/>
    </row>
    <row r="32" customFormat="false" ht="30" hidden="false" customHeight="true" outlineLevel="0" collapsed="false">
      <c r="A32" s="21" t="s">
        <v>166</v>
      </c>
      <c r="B32" s="22" t="s">
        <v>140</v>
      </c>
      <c r="C32" s="22" t="s">
        <v>163</v>
      </c>
      <c r="D32" s="22" t="s">
        <v>163</v>
      </c>
      <c r="E32" s="10" t="s">
        <v>167</v>
      </c>
      <c r="F32" s="10" t="s">
        <v>168</v>
      </c>
      <c r="G32" s="24" t="n">
        <v>2</v>
      </c>
      <c r="H32" s="24" t="n">
        <v>1</v>
      </c>
      <c r="I32" s="23" t="n">
        <f aca="false">COUNTIF('참가자 명단'!$H$6:$H$55,$A32)+COUNTIF('참가자 명단'!$I$6:$I$55,$A32)</f>
        <v>0</v>
      </c>
      <c r="J32" s="22" t="n">
        <f aca="false">MAX(0,H32-I32)</f>
        <v>1</v>
      </c>
      <c r="K32" s="9"/>
    </row>
    <row r="33" customFormat="false" ht="18" hidden="false" customHeight="true" outlineLevel="0" collapsed="false">
      <c r="A33" s="21" t="s">
        <v>169</v>
      </c>
      <c r="B33" s="22" t="s">
        <v>140</v>
      </c>
      <c r="C33" s="22" t="s">
        <v>163</v>
      </c>
      <c r="D33" s="22" t="s">
        <v>163</v>
      </c>
      <c r="E33" s="10" t="s">
        <v>170</v>
      </c>
      <c r="F33" s="10" t="s">
        <v>171</v>
      </c>
      <c r="G33" s="24" t="n">
        <v>2</v>
      </c>
      <c r="H33" s="24" t="n">
        <v>1</v>
      </c>
      <c r="I33" s="23" t="n">
        <f aca="false">COUNTIF('참가자 명단'!$H$6:$H$55,$A33)+COUNTIF('참가자 명단'!$I$6:$I$55,$A33)</f>
        <v>0</v>
      </c>
      <c r="J33" s="22" t="n">
        <f aca="false">MAX(0,H33-I33)</f>
        <v>1</v>
      </c>
      <c r="K33" s="9"/>
    </row>
    <row r="34" customFormat="false" ht="18" hidden="false" customHeight="true" outlineLevel="0" collapsed="false">
      <c r="A34" s="21" t="s">
        <v>172</v>
      </c>
      <c r="B34" s="22" t="s">
        <v>140</v>
      </c>
      <c r="C34" s="22" t="s">
        <v>163</v>
      </c>
      <c r="D34" s="22" t="s">
        <v>163</v>
      </c>
      <c r="E34" s="10" t="s">
        <v>173</v>
      </c>
      <c r="F34" s="10" t="s">
        <v>171</v>
      </c>
      <c r="G34" s="24" t="n">
        <v>2</v>
      </c>
      <c r="H34" s="24" t="n">
        <v>1</v>
      </c>
      <c r="I34" s="23" t="n">
        <f aca="false">COUNTIF('참가자 명단'!$H$6:$H$55,$A34)+COUNTIF('참가자 명단'!$I$6:$I$55,$A34)</f>
        <v>0</v>
      </c>
      <c r="J34" s="22" t="n">
        <f aca="false">MAX(0,H34-I34)</f>
        <v>1</v>
      </c>
      <c r="K34" s="9"/>
    </row>
    <row r="35" customFormat="false" ht="30" hidden="false" customHeight="true" outlineLevel="0" collapsed="false">
      <c r="A35" s="21" t="s">
        <v>174</v>
      </c>
      <c r="B35" s="22" t="s">
        <v>140</v>
      </c>
      <c r="C35" s="22" t="s">
        <v>163</v>
      </c>
      <c r="D35" s="22" t="s">
        <v>163</v>
      </c>
      <c r="E35" s="10" t="s">
        <v>175</v>
      </c>
      <c r="F35" s="10" t="s">
        <v>176</v>
      </c>
      <c r="G35" s="24" t="n">
        <v>2</v>
      </c>
      <c r="H35" s="24" t="n">
        <v>1</v>
      </c>
      <c r="I35" s="23" t="n">
        <f aca="false">COUNTIF('참가자 명단'!$H$6:$H$55,$A35)+COUNTIF('참가자 명단'!$I$6:$I$55,$A35)</f>
        <v>0</v>
      </c>
      <c r="J35" s="22" t="n">
        <f aca="false">MAX(0,H35-I35)</f>
        <v>1</v>
      </c>
      <c r="K35" s="9"/>
    </row>
    <row r="36" customFormat="false" ht="18" hidden="false" customHeight="true" outlineLevel="0" collapsed="false">
      <c r="A36" s="21" t="s">
        <v>177</v>
      </c>
      <c r="B36" s="22" t="s">
        <v>140</v>
      </c>
      <c r="C36" s="22" t="s">
        <v>163</v>
      </c>
      <c r="D36" s="22" t="s">
        <v>163</v>
      </c>
      <c r="E36" s="10" t="s">
        <v>178</v>
      </c>
      <c r="F36" s="10" t="s">
        <v>179</v>
      </c>
      <c r="G36" s="24" t="n">
        <v>2</v>
      </c>
      <c r="H36" s="24" t="n">
        <v>1</v>
      </c>
      <c r="I36" s="23" t="n">
        <f aca="false">COUNTIF('참가자 명단'!$H$6:$H$55,$A36)+COUNTIF('참가자 명단'!$I$6:$I$55,$A36)</f>
        <v>0</v>
      </c>
      <c r="J36" s="22" t="n">
        <f aca="false">MAX(0,H36-I36)</f>
        <v>1</v>
      </c>
      <c r="K36" s="9"/>
    </row>
    <row r="37" customFormat="false" ht="30" hidden="false" customHeight="true" outlineLevel="0" collapsed="false">
      <c r="A37" s="21" t="s">
        <v>180</v>
      </c>
      <c r="B37" s="22" t="s">
        <v>140</v>
      </c>
      <c r="C37" s="22" t="s">
        <v>163</v>
      </c>
      <c r="D37" s="22" t="s">
        <v>163</v>
      </c>
      <c r="E37" s="10" t="s">
        <v>181</v>
      </c>
      <c r="F37" s="10" t="s">
        <v>182</v>
      </c>
      <c r="G37" s="24" t="n">
        <v>3</v>
      </c>
      <c r="H37" s="24" t="n">
        <v>1</v>
      </c>
      <c r="I37" s="23" t="n">
        <f aca="false">COUNTIF('참가자 명단'!$H$6:$H$55,$A37)+COUNTIF('참가자 명단'!$I$6:$I$55,$A37)</f>
        <v>0</v>
      </c>
      <c r="J37" s="22" t="n">
        <f aca="false">MAX(0,H37-I37)</f>
        <v>1</v>
      </c>
      <c r="K37" s="9"/>
    </row>
    <row r="38" customFormat="false" ht="18" hidden="false" customHeight="true" outlineLevel="0" collapsed="false">
      <c r="A38" s="21" t="s">
        <v>183</v>
      </c>
      <c r="B38" s="22" t="s">
        <v>140</v>
      </c>
      <c r="C38" s="22" t="s">
        <v>163</v>
      </c>
      <c r="D38" s="22" t="s">
        <v>163</v>
      </c>
      <c r="E38" s="10" t="s">
        <v>184</v>
      </c>
      <c r="F38" s="10" t="s">
        <v>185</v>
      </c>
      <c r="G38" s="24" t="n">
        <v>2</v>
      </c>
      <c r="H38" s="24" t="n">
        <v>1</v>
      </c>
      <c r="I38" s="23" t="n">
        <f aca="false">COUNTIF('참가자 명단'!$H$6:$H$55,$A38)+COUNTIF('참가자 명단'!$I$6:$I$55,$A38)</f>
        <v>0</v>
      </c>
      <c r="J38" s="22" t="n">
        <f aca="false">MAX(0,H38-I38)</f>
        <v>1</v>
      </c>
      <c r="K38" s="9"/>
    </row>
    <row r="39" customFormat="false" ht="18" hidden="false" customHeight="true" outlineLevel="0" collapsed="false">
      <c r="A39" s="21" t="s">
        <v>186</v>
      </c>
      <c r="B39" s="22" t="s">
        <v>140</v>
      </c>
      <c r="C39" s="22" t="s">
        <v>163</v>
      </c>
      <c r="D39" s="22" t="s">
        <v>163</v>
      </c>
      <c r="E39" s="10" t="s">
        <v>187</v>
      </c>
      <c r="F39" s="10" t="s">
        <v>185</v>
      </c>
      <c r="G39" s="24" t="n">
        <v>3</v>
      </c>
      <c r="H39" s="24" t="n">
        <v>1</v>
      </c>
      <c r="I39" s="23" t="n">
        <f aca="false">COUNTIF('참가자 명단'!$H$6:$H$55,$A39)+COUNTIF('참가자 명단'!$I$6:$I$55,$A39)</f>
        <v>0</v>
      </c>
      <c r="J39" s="22" t="n">
        <f aca="false">MAX(0,H39-I39)</f>
        <v>1</v>
      </c>
      <c r="K39" s="9"/>
    </row>
    <row r="41" customFormat="false" ht="15" hidden="false" customHeight="false" outlineLevel="0" collapsed="false">
      <c r="A41" s="13" t="s">
        <v>188</v>
      </c>
      <c r="H41" s="26" t="n">
        <f aca="false">SUM(H5:H39)</f>
        <v>35</v>
      </c>
      <c r="I41" s="26" t="n">
        <f aca="false">SUM(I5:I39)</f>
        <v>1</v>
      </c>
      <c r="J41" s="26" t="n">
        <f aca="false">SUM(J5:J39)</f>
        <v>34</v>
      </c>
    </row>
    <row r="42" customFormat="false" ht="15" hidden="false" customHeight="false" outlineLevel="0" collapsed="false">
      <c r="A42" s="13" t="s">
        <v>189</v>
      </c>
      <c r="H42" s="26" t="n">
        <f aca="false">SUMIFS(H5:H39,G5:G39,1)</f>
        <v>6</v>
      </c>
      <c r="I42" s="26" t="n">
        <f aca="false">SUMIFS(I5:I39,G5:G39,1)</f>
        <v>1</v>
      </c>
      <c r="J42" s="26" t="n">
        <f aca="false">SUMIFS(J5:J39,G5:G39,1)</f>
        <v>5</v>
      </c>
    </row>
    <row r="44" customFormat="false" ht="15" hidden="false" customHeight="false" outlineLevel="0" collapsed="false">
      <c r="A44" s="20" t="s">
        <v>190</v>
      </c>
    </row>
    <row r="45" customFormat="false" ht="15" hidden="false" customHeight="false" outlineLevel="0" collapsed="false">
      <c r="A45" s="20" t="s">
        <v>191</v>
      </c>
    </row>
    <row r="46" customFormat="false" ht="15" hidden="false" customHeight="false" outlineLevel="0" collapsed="false">
      <c r="A46" s="2" t="s">
        <v>192</v>
      </c>
    </row>
    <row r="47" customFormat="false" ht="15" hidden="false" customHeight="false" outlineLevel="0" collapsed="false">
      <c r="A47" s="20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7"/>
    <col collapsed="false" customWidth="true" hidden="false" outlineLevel="0" max="5" min="4" style="0" width="9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22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46"/>
  </cols>
  <sheetData>
    <row r="1" customFormat="false" ht="18.55" hidden="false" customHeight="false" outlineLevel="0" collapsed="false">
      <c r="A1" s="1" t="s">
        <v>66</v>
      </c>
    </row>
    <row r="2" customFormat="false" ht="15" hidden="false" customHeight="false" outlineLevel="0" collapsed="false">
      <c r="A2" s="20" t="s">
        <v>194</v>
      </c>
    </row>
    <row r="5" customFormat="false" ht="45.75" hidden="false" customHeight="true" outlineLevel="0" collapsed="false">
      <c r="A5" s="6" t="s">
        <v>195</v>
      </c>
      <c r="B5" s="27" t="s">
        <v>196</v>
      </c>
      <c r="C5" s="6" t="s">
        <v>100</v>
      </c>
      <c r="D5" s="6" t="s">
        <v>197</v>
      </c>
      <c r="E5" s="6" t="s">
        <v>198</v>
      </c>
      <c r="F5" s="6" t="s">
        <v>199</v>
      </c>
      <c r="G5" s="27" t="s">
        <v>200</v>
      </c>
      <c r="H5" s="6" t="s">
        <v>201</v>
      </c>
      <c r="I5" s="6" t="s">
        <v>202</v>
      </c>
      <c r="J5" s="6" t="s">
        <v>203</v>
      </c>
      <c r="K5" s="6" t="s">
        <v>204</v>
      </c>
      <c r="L5" s="6" t="s">
        <v>108</v>
      </c>
    </row>
    <row r="6" customFormat="false" ht="15" hidden="false" customHeight="false" outlineLevel="0" collapsed="false">
      <c r="A6" s="28" t="s">
        <v>205</v>
      </c>
      <c r="B6" s="28" t="s">
        <v>206</v>
      </c>
      <c r="C6" s="29" t="s">
        <v>111</v>
      </c>
      <c r="D6" s="28"/>
      <c r="E6" s="28"/>
      <c r="F6" s="28" t="s">
        <v>207</v>
      </c>
      <c r="G6" s="30" t="str">
        <f aca="false">IF(AND(ISNUMBER(D6),ISNUMBER(E6)),ROUND(E6/(D6/100)^2,1),"")</f>
        <v/>
      </c>
      <c r="H6" s="22" t="str">
        <f aca="false">IF(OR($C6="",$G6=""),"",INDEX('분류 기준'!$B$5:$B$6,MATCH($C6,'분류 기준'!$A$5:$A$6,0))&amp;((IF($D6&lt;INDEX('분류 기준'!$C$5:$C$6,MATCH($C6,'분류 기준'!$A$5:$A$6,0)),1,IF($D6&lt;INDEX('분류 기준'!$D$5:$D$6,MATCH($C6,'분류 기준'!$A$5:$A$6,0)),2,3))-1)*3+IF($G6&lt;'분류 기준'!$C$9,1,IF($G6&lt;'분류 기준'!$C$10,2,3))))</f>
        <v/>
      </c>
      <c r="I6" s="28"/>
      <c r="J6" s="23" t="n">
        <f aca="false">IF($B6="","",COUNTIFS('수집 현황'!$B$6:$B$105,$B6,'수집 현황'!$AA$6:$AA$105,"PASS"))</f>
        <v>7</v>
      </c>
      <c r="K6" s="23" t="n">
        <f aca="false">IF($B6="","",COUNTIF('자세 수집 현황'!$C6:$J6,"&gt;0"))</f>
        <v>7</v>
      </c>
      <c r="L6" s="10" t="s">
        <v>208</v>
      </c>
    </row>
    <row r="7" customFormat="false" ht="15" hidden="false" customHeight="false" outlineLevel="0" collapsed="false">
      <c r="A7" s="28" t="s">
        <v>209</v>
      </c>
      <c r="B7" s="28" t="s">
        <v>210</v>
      </c>
      <c r="C7" s="29" t="s">
        <v>111</v>
      </c>
      <c r="D7" s="28"/>
      <c r="E7" s="28"/>
      <c r="F7" s="28" t="s">
        <v>207</v>
      </c>
      <c r="G7" s="30" t="str">
        <f aca="false">IF(AND(ISNUMBER(D7),ISNUMBER(E7)),ROUND(E7/(D7/100)^2,1),"")</f>
        <v/>
      </c>
      <c r="H7" s="22" t="str">
        <f aca="false">IF(OR($C7="",$G7=""),"",INDEX('분류 기준'!$B$5:$B$6,MATCH($C7,'분류 기준'!$A$5:$A$6,0))&amp;((IF($D7&lt;INDEX('분류 기준'!$C$5:$C$6,MATCH($C7,'분류 기준'!$A$5:$A$6,0)),1,IF($D7&lt;INDEX('분류 기준'!$D$5:$D$6,MATCH($C7,'분류 기준'!$A$5:$A$6,0)),2,3))-1)*3+IF($G7&lt;'분류 기준'!$C$9,1,IF($G7&lt;'분류 기준'!$C$10,2,3))))</f>
        <v/>
      </c>
      <c r="I7" s="28"/>
      <c r="J7" s="23" t="n">
        <f aca="false">IF($B7="","",COUNTIFS('수집 현황'!$B$6:$B$105,$B7,'수집 현황'!$AA$6:$AA$105,"PASS"))</f>
        <v>3</v>
      </c>
      <c r="K7" s="23" t="n">
        <f aca="false">IF($B7="","",COUNTIF('자세 수집 현황'!$C7:$J7,"&gt;0"))</f>
        <v>3</v>
      </c>
      <c r="L7" s="10" t="s">
        <v>208</v>
      </c>
    </row>
    <row r="8" customFormat="false" ht="15" hidden="false" customHeight="false" outlineLevel="0" collapsed="false">
      <c r="A8" s="28" t="s">
        <v>211</v>
      </c>
      <c r="B8" s="28" t="s">
        <v>212</v>
      </c>
      <c r="C8" s="29" t="s">
        <v>111</v>
      </c>
      <c r="D8" s="28"/>
      <c r="E8" s="28"/>
      <c r="F8" s="28" t="s">
        <v>207</v>
      </c>
      <c r="G8" s="30" t="str">
        <f aca="false">IF(AND(ISNUMBER(D8),ISNUMBER(E8)),ROUND(E8/(D8/100)^2,1),"")</f>
        <v/>
      </c>
      <c r="H8" s="22" t="str">
        <f aca="false">IF(OR($C8="",$G8=""),"",INDEX('분류 기준'!$B$5:$B$6,MATCH($C8,'분류 기준'!$A$5:$A$6,0))&amp;((IF($D8&lt;INDEX('분류 기준'!$C$5:$C$6,MATCH($C8,'분류 기준'!$A$5:$A$6,0)),1,IF($D8&lt;INDEX('분류 기준'!$D$5:$D$6,MATCH($C8,'분류 기준'!$A$5:$A$6,0)),2,3))-1)*3+IF($G8&lt;'분류 기준'!$C$9,1,IF($G8&lt;'분류 기준'!$C$10,2,3))))</f>
        <v/>
      </c>
      <c r="I8" s="28"/>
      <c r="J8" s="23" t="n">
        <f aca="false">IF($B8="","",COUNTIFS('수집 현황'!$B$6:$B$105,$B8,'수집 현황'!$AA$6:$AA$105,"PASS"))</f>
        <v>8</v>
      </c>
      <c r="K8" s="23" t="n">
        <f aca="false">IF($B8="","",COUNTIF('자세 수집 현황'!$C8:$J8,"&gt;0"))</f>
        <v>8</v>
      </c>
      <c r="L8" s="10" t="s">
        <v>208</v>
      </c>
    </row>
    <row r="9" customFormat="false" ht="15" hidden="false" customHeight="false" outlineLevel="0" collapsed="false">
      <c r="A9" s="28" t="s">
        <v>213</v>
      </c>
      <c r="B9" s="28" t="s">
        <v>214</v>
      </c>
      <c r="C9" s="29" t="s">
        <v>130</v>
      </c>
      <c r="D9" s="28" t="n">
        <v>180</v>
      </c>
      <c r="E9" s="28" t="n">
        <v>85</v>
      </c>
      <c r="F9" s="28" t="s">
        <v>207</v>
      </c>
      <c r="G9" s="30" t="n">
        <f aca="false">IF(AND(ISNUMBER(D9),ISNUMBER(E9)),ROUND(E9/(D9/100)^2,1),"")</f>
        <v>26.2</v>
      </c>
      <c r="H9" s="22" t="str">
        <f aca="false">IF(OR($C9="",$G9=""),"",INDEX('분류 기준'!$B$5:$B$6,MATCH($C9,'분류 기준'!$A$5:$A$6,0))&amp;((IF($D9&lt;INDEX('분류 기준'!$C$5:$C$6,MATCH($C9,'분류 기준'!$A$5:$A$6,0)),1,IF($D9&lt;INDEX('분류 기준'!$D$5:$D$6,MATCH($C9,'분류 기준'!$A$5:$A$6,0)),2,3))-1)*3+IF($G9&lt;'분류 기준'!$C$9,1,IF($G9&lt;'분류 기준'!$C$10,2,3))))</f>
        <v>M9</v>
      </c>
      <c r="I9" s="28"/>
      <c r="J9" s="23" t="n">
        <f aca="false">IF($B9="","",COUNTIFS('수집 현황'!$B$6:$B$105,$B9,'수집 현황'!$AA$6:$AA$105,"PASS"))</f>
        <v>7</v>
      </c>
      <c r="K9" s="23" t="n">
        <f aca="false">IF($B9="","",COUNTIF('자세 수집 현황'!$C9:$J9,"&gt;0"))</f>
        <v>7</v>
      </c>
      <c r="L9" s="10" t="s">
        <v>215</v>
      </c>
    </row>
    <row r="10" customFormat="false" ht="15" hidden="false" customHeight="false" outlineLevel="0" collapsed="false">
      <c r="A10" s="28"/>
      <c r="B10" s="28"/>
      <c r="C10" s="29"/>
      <c r="D10" s="28"/>
      <c r="E10" s="28"/>
      <c r="F10" s="28"/>
      <c r="G10" s="30" t="str">
        <f aca="false">IF(AND(ISNUMBER(D10),ISNUMBER(E10)),ROUND(E10/(D10/100)^2,1),"")</f>
        <v/>
      </c>
      <c r="H10" s="22" t="str">
        <f aca="false">IF(OR($C10="",$G10=""),"",INDEX('분류 기준'!$B$5:$B$6,MATCH($C10,'분류 기준'!$A$5:$A$6,0))&amp;((IF($D10&lt;INDEX('분류 기준'!$C$5:$C$6,MATCH($C10,'분류 기준'!$A$5:$A$6,0)),1,IF($D10&lt;INDEX('분류 기준'!$D$5:$D$6,MATCH($C10,'분류 기준'!$A$5:$A$6,0)),2,3))-1)*3+IF($G10&lt;'분류 기준'!$C$9,1,IF($G10&lt;'분류 기준'!$C$10,2,3))))</f>
        <v/>
      </c>
      <c r="I10" s="28"/>
      <c r="J10" s="23" t="str">
        <f aca="false">IF($B10="","",COUNTIFS('수집 현황'!$B$6:$B$105,$B10,'수집 현황'!$AA$6:$AA$105,"PASS"))</f>
        <v/>
      </c>
      <c r="K10" s="23" t="str">
        <f aca="false">IF($B10="","",COUNTIF('자세 수집 현황'!$C10:$J10,"&gt;0"))</f>
        <v/>
      </c>
      <c r="L10" s="10"/>
    </row>
    <row r="11" customFormat="false" ht="15" hidden="false" customHeight="false" outlineLevel="0" collapsed="false">
      <c r="A11" s="28"/>
      <c r="B11" s="28"/>
      <c r="C11" s="29"/>
      <c r="D11" s="28"/>
      <c r="E11" s="28"/>
      <c r="F11" s="28"/>
      <c r="G11" s="30" t="str">
        <f aca="false">IF(AND(ISNUMBER(D11),ISNUMBER(E11)),ROUND(E11/(D11/100)^2,1),"")</f>
        <v/>
      </c>
      <c r="H11" s="22" t="str">
        <f aca="false">IF(OR($C11="",$G11=""),"",INDEX('분류 기준'!$B$5:$B$6,MATCH($C11,'분류 기준'!$A$5:$A$6,0))&amp;((IF($D11&lt;INDEX('분류 기준'!$C$5:$C$6,MATCH($C11,'분류 기준'!$A$5:$A$6,0)),1,IF($D11&lt;INDEX('분류 기준'!$D$5:$D$6,MATCH($C11,'분류 기준'!$A$5:$A$6,0)),2,3))-1)*3+IF($G11&lt;'분류 기준'!$C$9,1,IF($G11&lt;'분류 기준'!$C$10,2,3))))</f>
        <v/>
      </c>
      <c r="I11" s="28"/>
      <c r="J11" s="23" t="str">
        <f aca="false">IF($B11="","",COUNTIFS('수집 현황'!$B$6:$B$105,$B11,'수집 현황'!$AA$6:$AA$105,"PASS"))</f>
        <v/>
      </c>
      <c r="K11" s="23" t="str">
        <f aca="false">IF($B11="","",COUNTIF('자세 수집 현황'!$C11:$J11,"&gt;0"))</f>
        <v/>
      </c>
      <c r="L11" s="10"/>
    </row>
    <row r="12" customFormat="false" ht="15" hidden="false" customHeight="false" outlineLevel="0" collapsed="false">
      <c r="A12" s="28"/>
      <c r="B12" s="28"/>
      <c r="C12" s="29"/>
      <c r="D12" s="28"/>
      <c r="E12" s="28"/>
      <c r="F12" s="28"/>
      <c r="G12" s="30" t="str">
        <f aca="false">IF(AND(ISNUMBER(D12),ISNUMBER(E12)),ROUND(E12/(D12/100)^2,1),"")</f>
        <v/>
      </c>
      <c r="H12" s="22" t="str">
        <f aca="false">IF(OR($C12="",$G12=""),"",INDEX('분류 기준'!$B$5:$B$6,MATCH($C12,'분류 기준'!$A$5:$A$6,0))&amp;((IF($D12&lt;INDEX('분류 기준'!$C$5:$C$6,MATCH($C12,'분류 기준'!$A$5:$A$6,0)),1,IF($D12&lt;INDEX('분류 기준'!$D$5:$D$6,MATCH($C12,'분류 기준'!$A$5:$A$6,0)),2,3))-1)*3+IF($G12&lt;'분류 기준'!$C$9,1,IF($G12&lt;'분류 기준'!$C$10,2,3))))</f>
        <v/>
      </c>
      <c r="I12" s="28"/>
      <c r="J12" s="23" t="str">
        <f aca="false">IF($B12="","",COUNTIFS('수집 현황'!$B$6:$B$105,$B12,'수집 현황'!$AA$6:$AA$105,"PASS"))</f>
        <v/>
      </c>
      <c r="K12" s="23" t="str">
        <f aca="false">IF($B12="","",COUNTIF('자세 수집 현황'!$C12:$J12,"&gt;0"))</f>
        <v/>
      </c>
      <c r="L12" s="10"/>
    </row>
    <row r="13" customFormat="false" ht="15" hidden="false" customHeight="false" outlineLevel="0" collapsed="false">
      <c r="A13" s="28"/>
      <c r="B13" s="28"/>
      <c r="C13" s="29"/>
      <c r="D13" s="28"/>
      <c r="E13" s="28"/>
      <c r="F13" s="28"/>
      <c r="G13" s="30" t="str">
        <f aca="false">IF(AND(ISNUMBER(D13),ISNUMBER(E13)),ROUND(E13/(D13/100)^2,1),"")</f>
        <v/>
      </c>
      <c r="H13" s="22" t="str">
        <f aca="false">IF(OR($C13="",$G13=""),"",INDEX('분류 기준'!$B$5:$B$6,MATCH($C13,'분류 기준'!$A$5:$A$6,0))&amp;((IF($D13&lt;INDEX('분류 기준'!$C$5:$C$6,MATCH($C13,'분류 기준'!$A$5:$A$6,0)),1,IF($D13&lt;INDEX('분류 기준'!$D$5:$D$6,MATCH($C13,'분류 기준'!$A$5:$A$6,0)),2,3))-1)*3+IF($G13&lt;'분류 기준'!$C$9,1,IF($G13&lt;'분류 기준'!$C$10,2,3))))</f>
        <v/>
      </c>
      <c r="I13" s="28"/>
      <c r="J13" s="23" t="str">
        <f aca="false">IF($B13="","",COUNTIFS('수집 현황'!$B$6:$B$105,$B13,'수집 현황'!$AA$6:$AA$105,"PASS"))</f>
        <v/>
      </c>
      <c r="K13" s="23" t="str">
        <f aca="false">IF($B13="","",COUNTIF('자세 수집 현황'!$C13:$J13,"&gt;0"))</f>
        <v/>
      </c>
      <c r="L13" s="10"/>
    </row>
    <row r="14" customFormat="false" ht="15" hidden="false" customHeight="false" outlineLevel="0" collapsed="false">
      <c r="A14" s="28"/>
      <c r="B14" s="28"/>
      <c r="C14" s="29"/>
      <c r="D14" s="28"/>
      <c r="E14" s="28"/>
      <c r="F14" s="28"/>
      <c r="G14" s="30" t="str">
        <f aca="false">IF(AND(ISNUMBER(D14),ISNUMBER(E14)),ROUND(E14/(D14/100)^2,1),"")</f>
        <v/>
      </c>
      <c r="H14" s="22" t="str">
        <f aca="false">IF(OR($C14="",$G14=""),"",INDEX('분류 기준'!$B$5:$B$6,MATCH($C14,'분류 기준'!$A$5:$A$6,0))&amp;((IF($D14&lt;INDEX('분류 기준'!$C$5:$C$6,MATCH($C14,'분류 기준'!$A$5:$A$6,0)),1,IF($D14&lt;INDEX('분류 기준'!$D$5:$D$6,MATCH($C14,'분류 기준'!$A$5:$A$6,0)),2,3))-1)*3+IF($G14&lt;'분류 기준'!$C$9,1,IF($G14&lt;'분류 기준'!$C$10,2,3))))</f>
        <v/>
      </c>
      <c r="I14" s="28"/>
      <c r="J14" s="23" t="str">
        <f aca="false">IF($B14="","",COUNTIFS('수집 현황'!$B$6:$B$105,$B14,'수집 현황'!$AA$6:$AA$105,"PASS"))</f>
        <v/>
      </c>
      <c r="K14" s="23" t="str">
        <f aca="false">IF($B14="","",COUNTIF('자세 수집 현황'!$C14:$J14,"&gt;0"))</f>
        <v/>
      </c>
      <c r="L14" s="10"/>
    </row>
    <row r="15" customFormat="false" ht="15" hidden="false" customHeight="false" outlineLevel="0" collapsed="false">
      <c r="A15" s="28"/>
      <c r="B15" s="28"/>
      <c r="C15" s="29"/>
      <c r="D15" s="28"/>
      <c r="E15" s="28"/>
      <c r="F15" s="28"/>
      <c r="G15" s="30" t="str">
        <f aca="false">IF(AND(ISNUMBER(D15),ISNUMBER(E15)),ROUND(E15/(D15/100)^2,1),"")</f>
        <v/>
      </c>
      <c r="H15" s="22" t="str">
        <f aca="false">IF(OR($C15="",$G15=""),"",INDEX('분류 기준'!$B$5:$B$6,MATCH($C15,'분류 기준'!$A$5:$A$6,0))&amp;((IF($D15&lt;INDEX('분류 기준'!$C$5:$C$6,MATCH($C15,'분류 기준'!$A$5:$A$6,0)),1,IF($D15&lt;INDEX('분류 기준'!$D$5:$D$6,MATCH($C15,'분류 기준'!$A$5:$A$6,0)),2,3))-1)*3+IF($G15&lt;'분류 기준'!$C$9,1,IF($G15&lt;'분류 기준'!$C$10,2,3))))</f>
        <v/>
      </c>
      <c r="I15" s="28"/>
      <c r="J15" s="23" t="str">
        <f aca="false">IF($B15="","",COUNTIFS('수집 현황'!$B$6:$B$105,$B15,'수집 현황'!$AA$6:$AA$105,"PASS"))</f>
        <v/>
      </c>
      <c r="K15" s="23" t="str">
        <f aca="false">IF($B15="","",COUNTIF('자세 수집 현황'!$C15:$J15,"&gt;0"))</f>
        <v/>
      </c>
      <c r="L15" s="10"/>
    </row>
    <row r="16" customFormat="false" ht="15" hidden="false" customHeight="false" outlineLevel="0" collapsed="false">
      <c r="A16" s="28"/>
      <c r="B16" s="28"/>
      <c r="C16" s="29"/>
      <c r="D16" s="28"/>
      <c r="E16" s="28"/>
      <c r="F16" s="28"/>
      <c r="G16" s="30" t="str">
        <f aca="false">IF(AND(ISNUMBER(D16),ISNUMBER(E16)),ROUND(E16/(D16/100)^2,1),"")</f>
        <v/>
      </c>
      <c r="H16" s="22" t="str">
        <f aca="false">IF(OR($C16="",$G16=""),"",INDEX('분류 기준'!$B$5:$B$6,MATCH($C16,'분류 기준'!$A$5:$A$6,0))&amp;((IF($D16&lt;INDEX('분류 기준'!$C$5:$C$6,MATCH($C16,'분류 기준'!$A$5:$A$6,0)),1,IF($D16&lt;INDEX('분류 기준'!$D$5:$D$6,MATCH($C16,'분류 기준'!$A$5:$A$6,0)),2,3))-1)*3+IF($G16&lt;'분류 기준'!$C$9,1,IF($G16&lt;'분류 기준'!$C$10,2,3))))</f>
        <v/>
      </c>
      <c r="I16" s="28"/>
      <c r="J16" s="23" t="str">
        <f aca="false">IF($B16="","",COUNTIFS('수집 현황'!$B$6:$B$105,$B16,'수집 현황'!$AA$6:$AA$105,"PASS"))</f>
        <v/>
      </c>
      <c r="K16" s="23" t="str">
        <f aca="false">IF($B16="","",COUNTIF('자세 수집 현황'!$C16:$J16,"&gt;0"))</f>
        <v/>
      </c>
      <c r="L16" s="10"/>
    </row>
    <row r="17" customFormat="false" ht="15" hidden="false" customHeight="false" outlineLevel="0" collapsed="false">
      <c r="A17" s="28"/>
      <c r="B17" s="28"/>
      <c r="C17" s="29"/>
      <c r="D17" s="28"/>
      <c r="E17" s="28"/>
      <c r="F17" s="28"/>
      <c r="G17" s="30" t="str">
        <f aca="false">IF(AND(ISNUMBER(D17),ISNUMBER(E17)),ROUND(E17/(D17/100)^2,1),"")</f>
        <v/>
      </c>
      <c r="H17" s="22" t="str">
        <f aca="false">IF(OR($C17="",$G17=""),"",INDEX('분류 기준'!$B$5:$B$6,MATCH($C17,'분류 기준'!$A$5:$A$6,0))&amp;((IF($D17&lt;INDEX('분류 기준'!$C$5:$C$6,MATCH($C17,'분류 기준'!$A$5:$A$6,0)),1,IF($D17&lt;INDEX('분류 기준'!$D$5:$D$6,MATCH($C17,'분류 기준'!$A$5:$A$6,0)),2,3))-1)*3+IF($G17&lt;'분류 기준'!$C$9,1,IF($G17&lt;'분류 기준'!$C$10,2,3))))</f>
        <v/>
      </c>
      <c r="I17" s="28"/>
      <c r="J17" s="23" t="str">
        <f aca="false">IF($B17="","",COUNTIFS('수집 현황'!$B$6:$B$105,$B17,'수집 현황'!$AA$6:$AA$105,"PASS"))</f>
        <v/>
      </c>
      <c r="K17" s="23" t="str">
        <f aca="false">IF($B17="","",COUNTIF('자세 수집 현황'!$C17:$J17,"&gt;0"))</f>
        <v/>
      </c>
      <c r="L17" s="10"/>
    </row>
    <row r="18" customFormat="false" ht="15" hidden="false" customHeight="false" outlineLevel="0" collapsed="false">
      <c r="A18" s="28"/>
      <c r="B18" s="28"/>
      <c r="C18" s="29"/>
      <c r="D18" s="28"/>
      <c r="E18" s="28"/>
      <c r="F18" s="28"/>
      <c r="G18" s="30" t="str">
        <f aca="false">IF(AND(ISNUMBER(D18),ISNUMBER(E18)),ROUND(E18/(D18/100)^2,1),"")</f>
        <v/>
      </c>
      <c r="H18" s="22" t="str">
        <f aca="false">IF(OR($C18="",$G18=""),"",INDEX('분류 기준'!$B$5:$B$6,MATCH($C18,'분류 기준'!$A$5:$A$6,0))&amp;((IF($D18&lt;INDEX('분류 기준'!$C$5:$C$6,MATCH($C18,'분류 기준'!$A$5:$A$6,0)),1,IF($D18&lt;INDEX('분류 기준'!$D$5:$D$6,MATCH($C18,'분류 기준'!$A$5:$A$6,0)),2,3))-1)*3+IF($G18&lt;'분류 기준'!$C$9,1,IF($G18&lt;'분류 기준'!$C$10,2,3))))</f>
        <v/>
      </c>
      <c r="I18" s="28"/>
      <c r="J18" s="23" t="str">
        <f aca="false">IF($B18="","",COUNTIFS('수집 현황'!$B$6:$B$105,$B18,'수집 현황'!$AA$6:$AA$105,"PASS"))</f>
        <v/>
      </c>
      <c r="K18" s="23" t="str">
        <f aca="false">IF($B18="","",COUNTIF('자세 수집 현황'!$C18:$J18,"&gt;0"))</f>
        <v/>
      </c>
      <c r="L18" s="10"/>
    </row>
    <row r="19" customFormat="false" ht="15" hidden="false" customHeight="false" outlineLevel="0" collapsed="false">
      <c r="A19" s="28"/>
      <c r="B19" s="28"/>
      <c r="C19" s="29"/>
      <c r="D19" s="28"/>
      <c r="E19" s="28"/>
      <c r="F19" s="28"/>
      <c r="G19" s="30" t="str">
        <f aca="false">IF(AND(ISNUMBER(D19),ISNUMBER(E19)),ROUND(E19/(D19/100)^2,1),"")</f>
        <v/>
      </c>
      <c r="H19" s="22" t="str">
        <f aca="false">IF(OR($C19="",$G19=""),"",INDEX('분류 기준'!$B$5:$B$6,MATCH($C19,'분류 기준'!$A$5:$A$6,0))&amp;((IF($D19&lt;INDEX('분류 기준'!$C$5:$C$6,MATCH($C19,'분류 기준'!$A$5:$A$6,0)),1,IF($D19&lt;INDEX('분류 기준'!$D$5:$D$6,MATCH($C19,'분류 기준'!$A$5:$A$6,0)),2,3))-1)*3+IF($G19&lt;'분류 기준'!$C$9,1,IF($G19&lt;'분류 기준'!$C$10,2,3))))</f>
        <v/>
      </c>
      <c r="I19" s="28"/>
      <c r="J19" s="23" t="str">
        <f aca="false">IF($B19="","",COUNTIFS('수집 현황'!$B$6:$B$105,$B19,'수집 현황'!$AA$6:$AA$105,"PASS"))</f>
        <v/>
      </c>
      <c r="K19" s="23" t="str">
        <f aca="false">IF($B19="","",COUNTIF('자세 수집 현황'!$C19:$J19,"&gt;0"))</f>
        <v/>
      </c>
      <c r="L19" s="10"/>
    </row>
    <row r="20" customFormat="false" ht="15" hidden="false" customHeight="false" outlineLevel="0" collapsed="false">
      <c r="A20" s="28"/>
      <c r="B20" s="28"/>
      <c r="C20" s="29"/>
      <c r="D20" s="28"/>
      <c r="E20" s="28"/>
      <c r="F20" s="28"/>
      <c r="G20" s="30" t="str">
        <f aca="false">IF(AND(ISNUMBER(D20),ISNUMBER(E20)),ROUND(E20/(D20/100)^2,1),"")</f>
        <v/>
      </c>
      <c r="H20" s="22" t="str">
        <f aca="false">IF(OR($C20="",$G20=""),"",INDEX('분류 기준'!$B$5:$B$6,MATCH($C20,'분류 기준'!$A$5:$A$6,0))&amp;((IF($D20&lt;INDEX('분류 기준'!$C$5:$C$6,MATCH($C20,'분류 기준'!$A$5:$A$6,0)),1,IF($D20&lt;INDEX('분류 기준'!$D$5:$D$6,MATCH($C20,'분류 기준'!$A$5:$A$6,0)),2,3))-1)*3+IF($G20&lt;'분류 기준'!$C$9,1,IF($G20&lt;'분류 기준'!$C$10,2,3))))</f>
        <v/>
      </c>
      <c r="I20" s="28"/>
      <c r="J20" s="23" t="str">
        <f aca="false">IF($B20="","",COUNTIFS('수집 현황'!$B$6:$B$105,$B20,'수집 현황'!$AA$6:$AA$105,"PASS"))</f>
        <v/>
      </c>
      <c r="K20" s="23" t="str">
        <f aca="false">IF($B20="","",COUNTIF('자세 수집 현황'!$C20:$J20,"&gt;0"))</f>
        <v/>
      </c>
      <c r="L20" s="10"/>
    </row>
    <row r="21" customFormat="false" ht="15" hidden="false" customHeight="false" outlineLevel="0" collapsed="false">
      <c r="A21" s="28"/>
      <c r="B21" s="28"/>
      <c r="C21" s="29"/>
      <c r="D21" s="28"/>
      <c r="E21" s="28"/>
      <c r="F21" s="28"/>
      <c r="G21" s="30" t="str">
        <f aca="false">IF(AND(ISNUMBER(D21),ISNUMBER(E21)),ROUND(E21/(D21/100)^2,1),"")</f>
        <v/>
      </c>
      <c r="H21" s="22" t="str">
        <f aca="false">IF(OR($C21="",$G21=""),"",INDEX('분류 기준'!$B$5:$B$6,MATCH($C21,'분류 기준'!$A$5:$A$6,0))&amp;((IF($D21&lt;INDEX('분류 기준'!$C$5:$C$6,MATCH($C21,'분류 기준'!$A$5:$A$6,0)),1,IF($D21&lt;INDEX('분류 기준'!$D$5:$D$6,MATCH($C21,'분류 기준'!$A$5:$A$6,0)),2,3))-1)*3+IF($G21&lt;'분류 기준'!$C$9,1,IF($G21&lt;'분류 기준'!$C$10,2,3))))</f>
        <v/>
      </c>
      <c r="I21" s="28"/>
      <c r="J21" s="23" t="str">
        <f aca="false">IF($B21="","",COUNTIFS('수집 현황'!$B$6:$B$105,$B21,'수집 현황'!$AA$6:$AA$105,"PASS"))</f>
        <v/>
      </c>
      <c r="K21" s="23" t="str">
        <f aca="false">IF($B21="","",COUNTIF('자세 수집 현황'!$C21:$J21,"&gt;0"))</f>
        <v/>
      </c>
      <c r="L21" s="10"/>
    </row>
    <row r="22" customFormat="false" ht="15" hidden="false" customHeight="false" outlineLevel="0" collapsed="false">
      <c r="A22" s="28"/>
      <c r="B22" s="28"/>
      <c r="C22" s="29"/>
      <c r="D22" s="28"/>
      <c r="E22" s="28"/>
      <c r="F22" s="28"/>
      <c r="G22" s="30" t="str">
        <f aca="false">IF(AND(ISNUMBER(D22),ISNUMBER(E22)),ROUND(E22/(D22/100)^2,1),"")</f>
        <v/>
      </c>
      <c r="H22" s="22" t="str">
        <f aca="false">IF(OR($C22="",$G22=""),"",INDEX('분류 기준'!$B$5:$B$6,MATCH($C22,'분류 기준'!$A$5:$A$6,0))&amp;((IF($D22&lt;INDEX('분류 기준'!$C$5:$C$6,MATCH($C22,'분류 기준'!$A$5:$A$6,0)),1,IF($D22&lt;INDEX('분류 기준'!$D$5:$D$6,MATCH($C22,'분류 기준'!$A$5:$A$6,0)),2,3))-1)*3+IF($G22&lt;'분류 기준'!$C$9,1,IF($G22&lt;'분류 기준'!$C$10,2,3))))</f>
        <v/>
      </c>
      <c r="I22" s="28"/>
      <c r="J22" s="23" t="str">
        <f aca="false">IF($B22="","",COUNTIFS('수집 현황'!$B$6:$B$105,$B22,'수집 현황'!$AA$6:$AA$105,"PASS"))</f>
        <v/>
      </c>
      <c r="K22" s="23" t="str">
        <f aca="false">IF($B22="","",COUNTIF('자세 수집 현황'!$C22:$J22,"&gt;0"))</f>
        <v/>
      </c>
      <c r="L22" s="10"/>
    </row>
    <row r="23" customFormat="false" ht="15" hidden="false" customHeight="false" outlineLevel="0" collapsed="false">
      <c r="A23" s="28"/>
      <c r="B23" s="28"/>
      <c r="C23" s="29"/>
      <c r="D23" s="28"/>
      <c r="E23" s="28"/>
      <c r="F23" s="28"/>
      <c r="G23" s="30" t="str">
        <f aca="false">IF(AND(ISNUMBER(D23),ISNUMBER(E23)),ROUND(E23/(D23/100)^2,1),"")</f>
        <v/>
      </c>
      <c r="H23" s="22" t="str">
        <f aca="false">IF(OR($C23="",$G23=""),"",INDEX('분류 기준'!$B$5:$B$6,MATCH($C23,'분류 기준'!$A$5:$A$6,0))&amp;((IF($D23&lt;INDEX('분류 기준'!$C$5:$C$6,MATCH($C23,'분류 기준'!$A$5:$A$6,0)),1,IF($D23&lt;INDEX('분류 기준'!$D$5:$D$6,MATCH($C23,'분류 기준'!$A$5:$A$6,0)),2,3))-1)*3+IF($G23&lt;'분류 기준'!$C$9,1,IF($G23&lt;'분류 기준'!$C$10,2,3))))</f>
        <v/>
      </c>
      <c r="I23" s="28"/>
      <c r="J23" s="23" t="str">
        <f aca="false">IF($B23="","",COUNTIFS('수집 현황'!$B$6:$B$105,$B23,'수집 현황'!$AA$6:$AA$105,"PASS"))</f>
        <v/>
      </c>
      <c r="K23" s="23" t="str">
        <f aca="false">IF($B23="","",COUNTIF('자세 수집 현황'!$C23:$J23,"&gt;0"))</f>
        <v/>
      </c>
      <c r="L23" s="10"/>
    </row>
    <row r="24" customFormat="false" ht="15" hidden="false" customHeight="false" outlineLevel="0" collapsed="false">
      <c r="A24" s="28"/>
      <c r="B24" s="28"/>
      <c r="C24" s="29"/>
      <c r="D24" s="28"/>
      <c r="E24" s="28"/>
      <c r="F24" s="28"/>
      <c r="G24" s="30" t="str">
        <f aca="false">IF(AND(ISNUMBER(D24),ISNUMBER(E24)),ROUND(E24/(D24/100)^2,1),"")</f>
        <v/>
      </c>
      <c r="H24" s="22" t="str">
        <f aca="false">IF(OR($C24="",$G24=""),"",INDEX('분류 기준'!$B$5:$B$6,MATCH($C24,'분류 기준'!$A$5:$A$6,0))&amp;((IF($D24&lt;INDEX('분류 기준'!$C$5:$C$6,MATCH($C24,'분류 기준'!$A$5:$A$6,0)),1,IF($D24&lt;INDEX('분류 기준'!$D$5:$D$6,MATCH($C24,'분류 기준'!$A$5:$A$6,0)),2,3))-1)*3+IF($G24&lt;'분류 기준'!$C$9,1,IF($G24&lt;'분류 기준'!$C$10,2,3))))</f>
        <v/>
      </c>
      <c r="I24" s="28"/>
      <c r="J24" s="23" t="str">
        <f aca="false">IF($B24="","",COUNTIFS('수집 현황'!$B$6:$B$105,$B24,'수집 현황'!$AA$6:$AA$105,"PASS"))</f>
        <v/>
      </c>
      <c r="K24" s="23" t="str">
        <f aca="false">IF($B24="","",COUNTIF('자세 수집 현황'!$C24:$J24,"&gt;0"))</f>
        <v/>
      </c>
      <c r="L24" s="10"/>
    </row>
    <row r="25" customFormat="false" ht="15" hidden="false" customHeight="false" outlineLevel="0" collapsed="false">
      <c r="A25" s="28"/>
      <c r="B25" s="28"/>
      <c r="C25" s="29"/>
      <c r="D25" s="28"/>
      <c r="E25" s="28"/>
      <c r="F25" s="28"/>
      <c r="G25" s="30" t="str">
        <f aca="false">IF(AND(ISNUMBER(D25),ISNUMBER(E25)),ROUND(E25/(D25/100)^2,1),"")</f>
        <v/>
      </c>
      <c r="H25" s="22" t="str">
        <f aca="false">IF(OR($C25="",$G25=""),"",INDEX('분류 기준'!$B$5:$B$6,MATCH($C25,'분류 기준'!$A$5:$A$6,0))&amp;((IF($D25&lt;INDEX('분류 기준'!$C$5:$C$6,MATCH($C25,'분류 기준'!$A$5:$A$6,0)),1,IF($D25&lt;INDEX('분류 기준'!$D$5:$D$6,MATCH($C25,'분류 기준'!$A$5:$A$6,0)),2,3))-1)*3+IF($G25&lt;'분류 기준'!$C$9,1,IF($G25&lt;'분류 기준'!$C$10,2,3))))</f>
        <v/>
      </c>
      <c r="I25" s="28"/>
      <c r="J25" s="23" t="str">
        <f aca="false">IF($B25="","",COUNTIFS('수집 현황'!$B$6:$B$105,$B25,'수집 현황'!$AA$6:$AA$105,"PASS"))</f>
        <v/>
      </c>
      <c r="K25" s="23" t="str">
        <f aca="false">IF($B25="","",COUNTIF('자세 수집 현황'!$C25:$J25,"&gt;0"))</f>
        <v/>
      </c>
      <c r="L25" s="10"/>
    </row>
    <row r="26" customFormat="false" ht="15" hidden="false" customHeight="false" outlineLevel="0" collapsed="false">
      <c r="A26" s="28"/>
      <c r="B26" s="28"/>
      <c r="C26" s="29"/>
      <c r="D26" s="28"/>
      <c r="E26" s="28"/>
      <c r="F26" s="28"/>
      <c r="G26" s="30" t="str">
        <f aca="false">IF(AND(ISNUMBER(D26),ISNUMBER(E26)),ROUND(E26/(D26/100)^2,1),"")</f>
        <v/>
      </c>
      <c r="H26" s="22" t="str">
        <f aca="false">IF(OR($C26="",$G26=""),"",INDEX('분류 기준'!$B$5:$B$6,MATCH($C26,'분류 기준'!$A$5:$A$6,0))&amp;((IF($D26&lt;INDEX('분류 기준'!$C$5:$C$6,MATCH($C26,'분류 기준'!$A$5:$A$6,0)),1,IF($D26&lt;INDEX('분류 기준'!$D$5:$D$6,MATCH($C26,'분류 기준'!$A$5:$A$6,0)),2,3))-1)*3+IF($G26&lt;'분류 기준'!$C$9,1,IF($G26&lt;'분류 기준'!$C$10,2,3))))</f>
        <v/>
      </c>
      <c r="I26" s="28"/>
      <c r="J26" s="23" t="str">
        <f aca="false">IF($B26="","",COUNTIFS('수집 현황'!$B$6:$B$105,$B26,'수집 현황'!$AA$6:$AA$105,"PASS"))</f>
        <v/>
      </c>
      <c r="K26" s="23" t="str">
        <f aca="false">IF($B26="","",COUNTIF('자세 수집 현황'!$C26:$J26,"&gt;0"))</f>
        <v/>
      </c>
      <c r="L26" s="10"/>
    </row>
    <row r="27" customFormat="false" ht="15" hidden="false" customHeight="false" outlineLevel="0" collapsed="false">
      <c r="A27" s="28"/>
      <c r="B27" s="28"/>
      <c r="C27" s="29"/>
      <c r="D27" s="28"/>
      <c r="E27" s="28"/>
      <c r="F27" s="28"/>
      <c r="G27" s="30" t="str">
        <f aca="false">IF(AND(ISNUMBER(D27),ISNUMBER(E27)),ROUND(E27/(D27/100)^2,1),"")</f>
        <v/>
      </c>
      <c r="H27" s="22" t="str">
        <f aca="false">IF(OR($C27="",$G27=""),"",INDEX('분류 기준'!$B$5:$B$6,MATCH($C27,'분류 기준'!$A$5:$A$6,0))&amp;((IF($D27&lt;INDEX('분류 기준'!$C$5:$C$6,MATCH($C27,'분류 기준'!$A$5:$A$6,0)),1,IF($D27&lt;INDEX('분류 기준'!$D$5:$D$6,MATCH($C27,'분류 기준'!$A$5:$A$6,0)),2,3))-1)*3+IF($G27&lt;'분류 기준'!$C$9,1,IF($G27&lt;'분류 기준'!$C$10,2,3))))</f>
        <v/>
      </c>
      <c r="I27" s="28"/>
      <c r="J27" s="23" t="str">
        <f aca="false">IF($B27="","",COUNTIFS('수집 현황'!$B$6:$B$105,$B27,'수집 현황'!$AA$6:$AA$105,"PASS"))</f>
        <v/>
      </c>
      <c r="K27" s="23" t="str">
        <f aca="false">IF($B27="","",COUNTIF('자세 수집 현황'!$C27:$J27,"&gt;0"))</f>
        <v/>
      </c>
      <c r="L27" s="10"/>
    </row>
    <row r="28" customFormat="false" ht="15" hidden="false" customHeight="false" outlineLevel="0" collapsed="false">
      <c r="A28" s="28"/>
      <c r="B28" s="28"/>
      <c r="C28" s="29"/>
      <c r="D28" s="28"/>
      <c r="E28" s="28"/>
      <c r="F28" s="28"/>
      <c r="G28" s="30" t="str">
        <f aca="false">IF(AND(ISNUMBER(D28),ISNUMBER(E28)),ROUND(E28/(D28/100)^2,1),"")</f>
        <v/>
      </c>
      <c r="H28" s="22" t="str">
        <f aca="false">IF(OR($C28="",$G28=""),"",INDEX('분류 기준'!$B$5:$B$6,MATCH($C28,'분류 기준'!$A$5:$A$6,0))&amp;((IF($D28&lt;INDEX('분류 기준'!$C$5:$C$6,MATCH($C28,'분류 기준'!$A$5:$A$6,0)),1,IF($D28&lt;INDEX('분류 기준'!$D$5:$D$6,MATCH($C28,'분류 기준'!$A$5:$A$6,0)),2,3))-1)*3+IF($G28&lt;'분류 기준'!$C$9,1,IF($G28&lt;'분류 기준'!$C$10,2,3))))</f>
        <v/>
      </c>
      <c r="I28" s="28"/>
      <c r="J28" s="23" t="str">
        <f aca="false">IF($B28="","",COUNTIFS('수집 현황'!$B$6:$B$105,$B28,'수집 현황'!$AA$6:$AA$105,"PASS"))</f>
        <v/>
      </c>
      <c r="K28" s="23" t="str">
        <f aca="false">IF($B28="","",COUNTIF('자세 수집 현황'!$C28:$J28,"&gt;0"))</f>
        <v/>
      </c>
      <c r="L28" s="10"/>
    </row>
    <row r="29" customFormat="false" ht="15" hidden="false" customHeight="false" outlineLevel="0" collapsed="false">
      <c r="A29" s="28"/>
      <c r="B29" s="28"/>
      <c r="C29" s="29"/>
      <c r="D29" s="28"/>
      <c r="E29" s="28"/>
      <c r="F29" s="28"/>
      <c r="G29" s="30" t="str">
        <f aca="false">IF(AND(ISNUMBER(D29),ISNUMBER(E29)),ROUND(E29/(D29/100)^2,1),"")</f>
        <v/>
      </c>
      <c r="H29" s="22" t="str">
        <f aca="false">IF(OR($C29="",$G29=""),"",INDEX('분류 기준'!$B$5:$B$6,MATCH($C29,'분류 기준'!$A$5:$A$6,0))&amp;((IF($D29&lt;INDEX('분류 기준'!$C$5:$C$6,MATCH($C29,'분류 기준'!$A$5:$A$6,0)),1,IF($D29&lt;INDEX('분류 기준'!$D$5:$D$6,MATCH($C29,'분류 기준'!$A$5:$A$6,0)),2,3))-1)*3+IF($G29&lt;'분류 기준'!$C$9,1,IF($G29&lt;'분류 기준'!$C$10,2,3))))</f>
        <v/>
      </c>
      <c r="I29" s="28"/>
      <c r="J29" s="23" t="str">
        <f aca="false">IF($B29="","",COUNTIFS('수집 현황'!$B$6:$B$105,$B29,'수집 현황'!$AA$6:$AA$105,"PASS"))</f>
        <v/>
      </c>
      <c r="K29" s="23" t="str">
        <f aca="false">IF($B29="","",COUNTIF('자세 수집 현황'!$C29:$J29,"&gt;0"))</f>
        <v/>
      </c>
      <c r="L29" s="10"/>
    </row>
    <row r="30" customFormat="false" ht="15" hidden="false" customHeight="false" outlineLevel="0" collapsed="false">
      <c r="A30" s="28"/>
      <c r="B30" s="28"/>
      <c r="C30" s="29"/>
      <c r="D30" s="28"/>
      <c r="E30" s="28"/>
      <c r="F30" s="28"/>
      <c r="G30" s="30" t="str">
        <f aca="false">IF(AND(ISNUMBER(D30),ISNUMBER(E30)),ROUND(E30/(D30/100)^2,1),"")</f>
        <v/>
      </c>
      <c r="H30" s="22" t="str">
        <f aca="false">IF(OR($C30="",$G30=""),"",INDEX('분류 기준'!$B$5:$B$6,MATCH($C30,'분류 기준'!$A$5:$A$6,0))&amp;((IF($D30&lt;INDEX('분류 기준'!$C$5:$C$6,MATCH($C30,'분류 기준'!$A$5:$A$6,0)),1,IF($D30&lt;INDEX('분류 기준'!$D$5:$D$6,MATCH($C30,'분류 기준'!$A$5:$A$6,0)),2,3))-1)*3+IF($G30&lt;'분류 기준'!$C$9,1,IF($G30&lt;'분류 기준'!$C$10,2,3))))</f>
        <v/>
      </c>
      <c r="I30" s="28"/>
      <c r="J30" s="23" t="str">
        <f aca="false">IF($B30="","",COUNTIFS('수집 현황'!$B$6:$B$105,$B30,'수집 현황'!$AA$6:$AA$105,"PASS"))</f>
        <v/>
      </c>
      <c r="K30" s="23" t="str">
        <f aca="false">IF($B30="","",COUNTIF('자세 수집 현황'!$C30:$J30,"&gt;0"))</f>
        <v/>
      </c>
      <c r="L30" s="10"/>
    </row>
    <row r="31" customFormat="false" ht="15" hidden="false" customHeight="false" outlineLevel="0" collapsed="false">
      <c r="A31" s="28"/>
      <c r="B31" s="28"/>
      <c r="C31" s="29"/>
      <c r="D31" s="28"/>
      <c r="E31" s="28"/>
      <c r="F31" s="28"/>
      <c r="G31" s="30" t="str">
        <f aca="false">IF(AND(ISNUMBER(D31),ISNUMBER(E31)),ROUND(E31/(D31/100)^2,1),"")</f>
        <v/>
      </c>
      <c r="H31" s="22" t="str">
        <f aca="false">IF(OR($C31="",$G31=""),"",INDEX('분류 기준'!$B$5:$B$6,MATCH($C31,'분류 기준'!$A$5:$A$6,0))&amp;((IF($D31&lt;INDEX('분류 기준'!$C$5:$C$6,MATCH($C31,'분류 기준'!$A$5:$A$6,0)),1,IF($D31&lt;INDEX('분류 기준'!$D$5:$D$6,MATCH($C31,'분류 기준'!$A$5:$A$6,0)),2,3))-1)*3+IF($G31&lt;'분류 기준'!$C$9,1,IF($G31&lt;'분류 기준'!$C$10,2,3))))</f>
        <v/>
      </c>
      <c r="I31" s="28"/>
      <c r="J31" s="23" t="str">
        <f aca="false">IF($B31="","",COUNTIFS('수집 현황'!$B$6:$B$105,$B31,'수집 현황'!$AA$6:$AA$105,"PASS"))</f>
        <v/>
      </c>
      <c r="K31" s="23" t="str">
        <f aca="false">IF($B31="","",COUNTIF('자세 수집 현황'!$C31:$J31,"&gt;0"))</f>
        <v/>
      </c>
      <c r="L31" s="10"/>
    </row>
    <row r="32" customFormat="false" ht="15" hidden="false" customHeight="false" outlineLevel="0" collapsed="false">
      <c r="A32" s="28"/>
      <c r="B32" s="28"/>
      <c r="C32" s="29"/>
      <c r="D32" s="28"/>
      <c r="E32" s="28"/>
      <c r="F32" s="28"/>
      <c r="G32" s="30" t="str">
        <f aca="false">IF(AND(ISNUMBER(D32),ISNUMBER(E32)),ROUND(E32/(D32/100)^2,1),"")</f>
        <v/>
      </c>
      <c r="H32" s="22" t="str">
        <f aca="false">IF(OR($C32="",$G32=""),"",INDEX('분류 기준'!$B$5:$B$6,MATCH($C32,'분류 기준'!$A$5:$A$6,0))&amp;((IF($D32&lt;INDEX('분류 기준'!$C$5:$C$6,MATCH($C32,'분류 기준'!$A$5:$A$6,0)),1,IF($D32&lt;INDEX('분류 기준'!$D$5:$D$6,MATCH($C32,'분류 기준'!$A$5:$A$6,0)),2,3))-1)*3+IF($G32&lt;'분류 기준'!$C$9,1,IF($G32&lt;'분류 기준'!$C$10,2,3))))</f>
        <v/>
      </c>
      <c r="I32" s="28"/>
      <c r="J32" s="23" t="str">
        <f aca="false">IF($B32="","",COUNTIFS('수집 현황'!$B$6:$B$105,$B32,'수집 현황'!$AA$6:$AA$105,"PASS"))</f>
        <v/>
      </c>
      <c r="K32" s="23" t="str">
        <f aca="false">IF($B32="","",COUNTIF('자세 수집 현황'!$C32:$J32,"&gt;0"))</f>
        <v/>
      </c>
      <c r="L32" s="10"/>
    </row>
    <row r="33" customFormat="false" ht="15" hidden="false" customHeight="false" outlineLevel="0" collapsed="false">
      <c r="A33" s="28"/>
      <c r="B33" s="28"/>
      <c r="C33" s="29"/>
      <c r="D33" s="28"/>
      <c r="E33" s="28"/>
      <c r="F33" s="28"/>
      <c r="G33" s="30" t="str">
        <f aca="false">IF(AND(ISNUMBER(D33),ISNUMBER(E33)),ROUND(E33/(D33/100)^2,1),"")</f>
        <v/>
      </c>
      <c r="H33" s="22" t="str">
        <f aca="false">IF(OR($C33="",$G33=""),"",INDEX('분류 기준'!$B$5:$B$6,MATCH($C33,'분류 기준'!$A$5:$A$6,0))&amp;((IF($D33&lt;INDEX('분류 기준'!$C$5:$C$6,MATCH($C33,'분류 기준'!$A$5:$A$6,0)),1,IF($D33&lt;INDEX('분류 기준'!$D$5:$D$6,MATCH($C33,'분류 기준'!$A$5:$A$6,0)),2,3))-1)*3+IF($G33&lt;'분류 기준'!$C$9,1,IF($G33&lt;'분류 기준'!$C$10,2,3))))</f>
        <v/>
      </c>
      <c r="I33" s="28"/>
      <c r="J33" s="23" t="str">
        <f aca="false">IF($B33="","",COUNTIFS('수집 현황'!$B$6:$B$105,$B33,'수집 현황'!$AA$6:$AA$105,"PASS"))</f>
        <v/>
      </c>
      <c r="K33" s="23" t="str">
        <f aca="false">IF($B33="","",COUNTIF('자세 수집 현황'!$C33:$J33,"&gt;0"))</f>
        <v/>
      </c>
      <c r="L33" s="10"/>
    </row>
    <row r="34" customFormat="false" ht="15" hidden="false" customHeight="false" outlineLevel="0" collapsed="false">
      <c r="A34" s="28"/>
      <c r="B34" s="28"/>
      <c r="C34" s="29"/>
      <c r="D34" s="28"/>
      <c r="E34" s="28"/>
      <c r="F34" s="28"/>
      <c r="G34" s="30" t="str">
        <f aca="false">IF(AND(ISNUMBER(D34),ISNUMBER(E34)),ROUND(E34/(D34/100)^2,1),"")</f>
        <v/>
      </c>
      <c r="H34" s="22" t="str">
        <f aca="false">IF(OR($C34="",$G34=""),"",INDEX('분류 기준'!$B$5:$B$6,MATCH($C34,'분류 기준'!$A$5:$A$6,0))&amp;((IF($D34&lt;INDEX('분류 기준'!$C$5:$C$6,MATCH($C34,'분류 기준'!$A$5:$A$6,0)),1,IF($D34&lt;INDEX('분류 기준'!$D$5:$D$6,MATCH($C34,'분류 기준'!$A$5:$A$6,0)),2,3))-1)*3+IF($G34&lt;'분류 기준'!$C$9,1,IF($G34&lt;'분류 기준'!$C$10,2,3))))</f>
        <v/>
      </c>
      <c r="I34" s="28"/>
      <c r="J34" s="23" t="str">
        <f aca="false">IF($B34="","",COUNTIFS('수집 현황'!$B$6:$B$105,$B34,'수집 현황'!$AA$6:$AA$105,"PASS"))</f>
        <v/>
      </c>
      <c r="K34" s="23" t="str">
        <f aca="false">IF($B34="","",COUNTIF('자세 수집 현황'!$C34:$J34,"&gt;0"))</f>
        <v/>
      </c>
      <c r="L34" s="10"/>
    </row>
    <row r="35" customFormat="false" ht="15" hidden="false" customHeight="false" outlineLevel="0" collapsed="false">
      <c r="A35" s="28"/>
      <c r="B35" s="28"/>
      <c r="C35" s="29"/>
      <c r="D35" s="28"/>
      <c r="E35" s="28"/>
      <c r="F35" s="28"/>
      <c r="G35" s="30" t="str">
        <f aca="false">IF(AND(ISNUMBER(D35),ISNUMBER(E35)),ROUND(E35/(D35/100)^2,1),"")</f>
        <v/>
      </c>
      <c r="H35" s="22" t="str">
        <f aca="false">IF(OR($C35="",$G35=""),"",INDEX('분류 기준'!$B$5:$B$6,MATCH($C35,'분류 기준'!$A$5:$A$6,0))&amp;((IF($D35&lt;INDEX('분류 기준'!$C$5:$C$6,MATCH($C35,'분류 기준'!$A$5:$A$6,0)),1,IF($D35&lt;INDEX('분류 기준'!$D$5:$D$6,MATCH($C35,'분류 기준'!$A$5:$A$6,0)),2,3))-1)*3+IF($G35&lt;'분류 기준'!$C$9,1,IF($G35&lt;'분류 기준'!$C$10,2,3))))</f>
        <v/>
      </c>
      <c r="I35" s="28"/>
      <c r="J35" s="23" t="str">
        <f aca="false">IF($B35="","",COUNTIFS('수집 현황'!$B$6:$B$105,$B35,'수집 현황'!$AA$6:$AA$105,"PASS"))</f>
        <v/>
      </c>
      <c r="K35" s="23" t="str">
        <f aca="false">IF($B35="","",COUNTIF('자세 수집 현황'!$C35:$J35,"&gt;0"))</f>
        <v/>
      </c>
      <c r="L35" s="10"/>
    </row>
    <row r="36" customFormat="false" ht="15" hidden="false" customHeight="false" outlineLevel="0" collapsed="false">
      <c r="A36" s="28"/>
      <c r="B36" s="28"/>
      <c r="C36" s="29"/>
      <c r="D36" s="28"/>
      <c r="E36" s="28"/>
      <c r="F36" s="28"/>
      <c r="G36" s="30" t="str">
        <f aca="false">IF(AND(ISNUMBER(D36),ISNUMBER(E36)),ROUND(E36/(D36/100)^2,1),"")</f>
        <v/>
      </c>
      <c r="H36" s="22" t="str">
        <f aca="false">IF(OR($C36="",$G36=""),"",INDEX('분류 기준'!$B$5:$B$6,MATCH($C36,'분류 기준'!$A$5:$A$6,0))&amp;((IF($D36&lt;INDEX('분류 기준'!$C$5:$C$6,MATCH($C36,'분류 기준'!$A$5:$A$6,0)),1,IF($D36&lt;INDEX('분류 기준'!$D$5:$D$6,MATCH($C36,'분류 기준'!$A$5:$A$6,0)),2,3))-1)*3+IF($G36&lt;'분류 기준'!$C$9,1,IF($G36&lt;'분류 기준'!$C$10,2,3))))</f>
        <v/>
      </c>
      <c r="I36" s="28"/>
      <c r="J36" s="23" t="str">
        <f aca="false">IF($B36="","",COUNTIFS('수집 현황'!$B$6:$B$105,$B36,'수집 현황'!$AA$6:$AA$105,"PASS"))</f>
        <v/>
      </c>
      <c r="K36" s="23" t="str">
        <f aca="false">IF($B36="","",COUNTIF('자세 수집 현황'!$C36:$J36,"&gt;0"))</f>
        <v/>
      </c>
      <c r="L36" s="10"/>
    </row>
    <row r="37" customFormat="false" ht="15" hidden="false" customHeight="false" outlineLevel="0" collapsed="false">
      <c r="A37" s="28"/>
      <c r="B37" s="28"/>
      <c r="C37" s="29"/>
      <c r="D37" s="28"/>
      <c r="E37" s="28"/>
      <c r="F37" s="28"/>
      <c r="G37" s="30" t="str">
        <f aca="false">IF(AND(ISNUMBER(D37),ISNUMBER(E37)),ROUND(E37/(D37/100)^2,1),"")</f>
        <v/>
      </c>
      <c r="H37" s="22" t="str">
        <f aca="false">IF(OR($C37="",$G37=""),"",INDEX('분류 기준'!$B$5:$B$6,MATCH($C37,'분류 기준'!$A$5:$A$6,0))&amp;((IF($D37&lt;INDEX('분류 기준'!$C$5:$C$6,MATCH($C37,'분류 기준'!$A$5:$A$6,0)),1,IF($D37&lt;INDEX('분류 기준'!$D$5:$D$6,MATCH($C37,'분류 기준'!$A$5:$A$6,0)),2,3))-1)*3+IF($G37&lt;'분류 기준'!$C$9,1,IF($G37&lt;'분류 기준'!$C$10,2,3))))</f>
        <v/>
      </c>
      <c r="I37" s="28"/>
      <c r="J37" s="23" t="str">
        <f aca="false">IF($B37="","",COUNTIFS('수집 현황'!$B$6:$B$105,$B37,'수집 현황'!$AA$6:$AA$105,"PASS"))</f>
        <v/>
      </c>
      <c r="K37" s="23" t="str">
        <f aca="false">IF($B37="","",COUNTIF('자세 수집 현황'!$C37:$J37,"&gt;0"))</f>
        <v/>
      </c>
      <c r="L37" s="10"/>
    </row>
    <row r="38" customFormat="false" ht="15" hidden="false" customHeight="false" outlineLevel="0" collapsed="false">
      <c r="A38" s="28"/>
      <c r="B38" s="28"/>
      <c r="C38" s="29"/>
      <c r="D38" s="28"/>
      <c r="E38" s="28"/>
      <c r="F38" s="28"/>
      <c r="G38" s="30" t="str">
        <f aca="false">IF(AND(ISNUMBER(D38),ISNUMBER(E38)),ROUND(E38/(D38/100)^2,1),"")</f>
        <v/>
      </c>
      <c r="H38" s="22" t="str">
        <f aca="false">IF(OR($C38="",$G38=""),"",INDEX('분류 기준'!$B$5:$B$6,MATCH($C38,'분류 기준'!$A$5:$A$6,0))&amp;((IF($D38&lt;INDEX('분류 기준'!$C$5:$C$6,MATCH($C38,'분류 기준'!$A$5:$A$6,0)),1,IF($D38&lt;INDEX('분류 기준'!$D$5:$D$6,MATCH($C38,'분류 기준'!$A$5:$A$6,0)),2,3))-1)*3+IF($G38&lt;'분류 기준'!$C$9,1,IF($G38&lt;'분류 기준'!$C$10,2,3))))</f>
        <v/>
      </c>
      <c r="I38" s="28"/>
      <c r="J38" s="23" t="str">
        <f aca="false">IF($B38="","",COUNTIFS('수집 현황'!$B$6:$B$105,$B38,'수집 현황'!$AA$6:$AA$105,"PASS"))</f>
        <v/>
      </c>
      <c r="K38" s="23" t="str">
        <f aca="false">IF($B38="","",COUNTIF('자세 수집 현황'!$C38:$J38,"&gt;0"))</f>
        <v/>
      </c>
      <c r="L38" s="10"/>
    </row>
    <row r="39" customFormat="false" ht="15" hidden="false" customHeight="false" outlineLevel="0" collapsed="false">
      <c r="A39" s="28"/>
      <c r="B39" s="28"/>
      <c r="C39" s="29"/>
      <c r="D39" s="28"/>
      <c r="E39" s="28"/>
      <c r="F39" s="28"/>
      <c r="G39" s="30" t="str">
        <f aca="false">IF(AND(ISNUMBER(D39),ISNUMBER(E39)),ROUND(E39/(D39/100)^2,1),"")</f>
        <v/>
      </c>
      <c r="H39" s="22" t="str">
        <f aca="false">IF(OR($C39="",$G39=""),"",INDEX('분류 기준'!$B$5:$B$6,MATCH($C39,'분류 기준'!$A$5:$A$6,0))&amp;((IF($D39&lt;INDEX('분류 기준'!$C$5:$C$6,MATCH($C39,'분류 기준'!$A$5:$A$6,0)),1,IF($D39&lt;INDEX('분류 기준'!$D$5:$D$6,MATCH($C39,'분류 기준'!$A$5:$A$6,0)),2,3))-1)*3+IF($G39&lt;'분류 기준'!$C$9,1,IF($G39&lt;'분류 기준'!$C$10,2,3))))</f>
        <v/>
      </c>
      <c r="I39" s="28"/>
      <c r="J39" s="23" t="str">
        <f aca="false">IF($B39="","",COUNTIFS('수집 현황'!$B$6:$B$105,$B39,'수집 현황'!$AA$6:$AA$105,"PASS"))</f>
        <v/>
      </c>
      <c r="K39" s="23" t="str">
        <f aca="false">IF($B39="","",COUNTIF('자세 수집 현황'!$C39:$J39,"&gt;0"))</f>
        <v/>
      </c>
      <c r="L39" s="10"/>
    </row>
    <row r="40" customFormat="false" ht="15" hidden="false" customHeight="false" outlineLevel="0" collapsed="false">
      <c r="A40" s="28"/>
      <c r="B40" s="28"/>
      <c r="C40" s="29"/>
      <c r="D40" s="28"/>
      <c r="E40" s="28"/>
      <c r="F40" s="28"/>
      <c r="G40" s="30" t="str">
        <f aca="false">IF(AND(ISNUMBER(D40),ISNUMBER(E40)),ROUND(E40/(D40/100)^2,1),"")</f>
        <v/>
      </c>
      <c r="H40" s="22" t="str">
        <f aca="false">IF(OR($C40="",$G40=""),"",INDEX('분류 기준'!$B$5:$B$6,MATCH($C40,'분류 기준'!$A$5:$A$6,0))&amp;((IF($D40&lt;INDEX('분류 기준'!$C$5:$C$6,MATCH($C40,'분류 기준'!$A$5:$A$6,0)),1,IF($D40&lt;INDEX('분류 기준'!$D$5:$D$6,MATCH($C40,'분류 기준'!$A$5:$A$6,0)),2,3))-1)*3+IF($G40&lt;'분류 기준'!$C$9,1,IF($G40&lt;'분류 기준'!$C$10,2,3))))</f>
        <v/>
      </c>
      <c r="I40" s="28"/>
      <c r="J40" s="23" t="str">
        <f aca="false">IF($B40="","",COUNTIFS('수집 현황'!$B$6:$B$105,$B40,'수집 현황'!$AA$6:$AA$105,"PASS"))</f>
        <v/>
      </c>
      <c r="K40" s="23" t="str">
        <f aca="false">IF($B40="","",COUNTIF('자세 수집 현황'!$C40:$J40,"&gt;0"))</f>
        <v/>
      </c>
      <c r="L40" s="10"/>
    </row>
    <row r="41" customFormat="false" ht="15" hidden="false" customHeight="false" outlineLevel="0" collapsed="false">
      <c r="A41" s="28"/>
      <c r="B41" s="28"/>
      <c r="C41" s="29"/>
      <c r="D41" s="28"/>
      <c r="E41" s="28"/>
      <c r="F41" s="28"/>
      <c r="G41" s="30" t="str">
        <f aca="false">IF(AND(ISNUMBER(D41),ISNUMBER(E41)),ROUND(E41/(D41/100)^2,1),"")</f>
        <v/>
      </c>
      <c r="H41" s="22" t="str">
        <f aca="false">IF(OR($C41="",$G41=""),"",INDEX('분류 기준'!$B$5:$B$6,MATCH($C41,'분류 기준'!$A$5:$A$6,0))&amp;((IF($D41&lt;INDEX('분류 기준'!$C$5:$C$6,MATCH($C41,'분류 기준'!$A$5:$A$6,0)),1,IF($D41&lt;INDEX('분류 기준'!$D$5:$D$6,MATCH($C41,'분류 기준'!$A$5:$A$6,0)),2,3))-1)*3+IF($G41&lt;'분류 기준'!$C$9,1,IF($G41&lt;'분류 기준'!$C$10,2,3))))</f>
        <v/>
      </c>
      <c r="I41" s="28"/>
      <c r="J41" s="23" t="str">
        <f aca="false">IF($B41="","",COUNTIFS('수집 현황'!$B$6:$B$105,$B41,'수집 현황'!$AA$6:$AA$105,"PASS"))</f>
        <v/>
      </c>
      <c r="K41" s="23" t="str">
        <f aca="false">IF($B41="","",COUNTIF('자세 수집 현황'!$C41:$J41,"&gt;0"))</f>
        <v/>
      </c>
      <c r="L41" s="10"/>
    </row>
    <row r="42" customFormat="false" ht="15" hidden="false" customHeight="false" outlineLevel="0" collapsed="false">
      <c r="A42" s="28"/>
      <c r="B42" s="28"/>
      <c r="C42" s="29"/>
      <c r="D42" s="28"/>
      <c r="E42" s="28"/>
      <c r="F42" s="28"/>
      <c r="G42" s="30" t="str">
        <f aca="false">IF(AND(ISNUMBER(D42),ISNUMBER(E42)),ROUND(E42/(D42/100)^2,1),"")</f>
        <v/>
      </c>
      <c r="H42" s="22" t="str">
        <f aca="false">IF(OR($C42="",$G42=""),"",INDEX('분류 기준'!$B$5:$B$6,MATCH($C42,'분류 기준'!$A$5:$A$6,0))&amp;((IF($D42&lt;INDEX('분류 기준'!$C$5:$C$6,MATCH($C42,'분류 기준'!$A$5:$A$6,0)),1,IF($D42&lt;INDEX('분류 기준'!$D$5:$D$6,MATCH($C42,'분류 기준'!$A$5:$A$6,0)),2,3))-1)*3+IF($G42&lt;'분류 기준'!$C$9,1,IF($G42&lt;'분류 기준'!$C$10,2,3))))</f>
        <v/>
      </c>
      <c r="I42" s="28"/>
      <c r="J42" s="23" t="str">
        <f aca="false">IF($B42="","",COUNTIFS('수집 현황'!$B$6:$B$105,$B42,'수집 현황'!$AA$6:$AA$105,"PASS"))</f>
        <v/>
      </c>
      <c r="K42" s="23" t="str">
        <f aca="false">IF($B42="","",COUNTIF('자세 수집 현황'!$C42:$J42,"&gt;0"))</f>
        <v/>
      </c>
      <c r="L42" s="10"/>
    </row>
    <row r="43" customFormat="false" ht="15" hidden="false" customHeight="false" outlineLevel="0" collapsed="false">
      <c r="A43" s="28"/>
      <c r="B43" s="28"/>
      <c r="C43" s="29"/>
      <c r="D43" s="28"/>
      <c r="E43" s="28"/>
      <c r="F43" s="28"/>
      <c r="G43" s="30" t="str">
        <f aca="false">IF(AND(ISNUMBER(D43),ISNUMBER(E43)),ROUND(E43/(D43/100)^2,1),"")</f>
        <v/>
      </c>
      <c r="H43" s="22" t="str">
        <f aca="false">IF(OR($C43="",$G43=""),"",INDEX('분류 기준'!$B$5:$B$6,MATCH($C43,'분류 기준'!$A$5:$A$6,0))&amp;((IF($D43&lt;INDEX('분류 기준'!$C$5:$C$6,MATCH($C43,'분류 기준'!$A$5:$A$6,0)),1,IF($D43&lt;INDEX('분류 기준'!$D$5:$D$6,MATCH($C43,'분류 기준'!$A$5:$A$6,0)),2,3))-1)*3+IF($G43&lt;'분류 기준'!$C$9,1,IF($G43&lt;'분류 기준'!$C$10,2,3))))</f>
        <v/>
      </c>
      <c r="I43" s="28"/>
      <c r="J43" s="23" t="str">
        <f aca="false">IF($B43="","",COUNTIFS('수집 현황'!$B$6:$B$105,$B43,'수집 현황'!$AA$6:$AA$105,"PASS"))</f>
        <v/>
      </c>
      <c r="K43" s="23" t="str">
        <f aca="false">IF($B43="","",COUNTIF('자세 수집 현황'!$C43:$J43,"&gt;0"))</f>
        <v/>
      </c>
      <c r="L43" s="10"/>
    </row>
    <row r="44" customFormat="false" ht="15" hidden="false" customHeight="false" outlineLevel="0" collapsed="false">
      <c r="A44" s="28"/>
      <c r="B44" s="28"/>
      <c r="C44" s="29"/>
      <c r="D44" s="28"/>
      <c r="E44" s="28"/>
      <c r="F44" s="28"/>
      <c r="G44" s="30" t="str">
        <f aca="false">IF(AND(ISNUMBER(D44),ISNUMBER(E44)),ROUND(E44/(D44/100)^2,1),"")</f>
        <v/>
      </c>
      <c r="H44" s="22" t="str">
        <f aca="false">IF(OR($C44="",$G44=""),"",INDEX('분류 기준'!$B$5:$B$6,MATCH($C44,'분류 기준'!$A$5:$A$6,0))&amp;((IF($D44&lt;INDEX('분류 기준'!$C$5:$C$6,MATCH($C44,'분류 기준'!$A$5:$A$6,0)),1,IF($D44&lt;INDEX('분류 기준'!$D$5:$D$6,MATCH($C44,'분류 기준'!$A$5:$A$6,0)),2,3))-1)*3+IF($G44&lt;'분류 기준'!$C$9,1,IF($G44&lt;'분류 기준'!$C$10,2,3))))</f>
        <v/>
      </c>
      <c r="I44" s="28"/>
      <c r="J44" s="23" t="str">
        <f aca="false">IF($B44="","",COUNTIFS('수집 현황'!$B$6:$B$105,$B44,'수집 현황'!$AA$6:$AA$105,"PASS"))</f>
        <v/>
      </c>
      <c r="K44" s="23" t="str">
        <f aca="false">IF($B44="","",COUNTIF('자세 수집 현황'!$C44:$J44,"&gt;0"))</f>
        <v/>
      </c>
      <c r="L44" s="10"/>
    </row>
    <row r="45" customFormat="false" ht="15" hidden="false" customHeight="false" outlineLevel="0" collapsed="false">
      <c r="A45" s="28"/>
      <c r="B45" s="28"/>
      <c r="C45" s="29"/>
      <c r="D45" s="28"/>
      <c r="E45" s="28"/>
      <c r="F45" s="28"/>
      <c r="G45" s="30" t="str">
        <f aca="false">IF(AND(ISNUMBER(D45),ISNUMBER(E45)),ROUND(E45/(D45/100)^2,1),"")</f>
        <v/>
      </c>
      <c r="H45" s="22" t="str">
        <f aca="false">IF(OR($C45="",$G45=""),"",INDEX('분류 기준'!$B$5:$B$6,MATCH($C45,'분류 기준'!$A$5:$A$6,0))&amp;((IF($D45&lt;INDEX('분류 기준'!$C$5:$C$6,MATCH($C45,'분류 기준'!$A$5:$A$6,0)),1,IF($D45&lt;INDEX('분류 기준'!$D$5:$D$6,MATCH($C45,'분류 기준'!$A$5:$A$6,0)),2,3))-1)*3+IF($G45&lt;'분류 기준'!$C$9,1,IF($G45&lt;'분류 기준'!$C$10,2,3))))</f>
        <v/>
      </c>
      <c r="I45" s="28"/>
      <c r="J45" s="23" t="str">
        <f aca="false">IF($B45="","",COUNTIFS('수집 현황'!$B$6:$B$105,$B45,'수집 현황'!$AA$6:$AA$105,"PASS"))</f>
        <v/>
      </c>
      <c r="K45" s="23" t="str">
        <f aca="false">IF($B45="","",COUNTIF('자세 수집 현황'!$C45:$J45,"&gt;0"))</f>
        <v/>
      </c>
      <c r="L45" s="10"/>
    </row>
    <row r="46" customFormat="false" ht="15" hidden="false" customHeight="false" outlineLevel="0" collapsed="false">
      <c r="A46" s="28"/>
      <c r="B46" s="28"/>
      <c r="C46" s="29"/>
      <c r="D46" s="28"/>
      <c r="E46" s="28"/>
      <c r="F46" s="28"/>
      <c r="G46" s="30" t="str">
        <f aca="false">IF(AND(ISNUMBER(D46),ISNUMBER(E46)),ROUND(E46/(D46/100)^2,1),"")</f>
        <v/>
      </c>
      <c r="H46" s="22" t="str">
        <f aca="false">IF(OR($C46="",$G46=""),"",INDEX('분류 기준'!$B$5:$B$6,MATCH($C46,'분류 기준'!$A$5:$A$6,0))&amp;((IF($D46&lt;INDEX('분류 기준'!$C$5:$C$6,MATCH($C46,'분류 기준'!$A$5:$A$6,0)),1,IF($D46&lt;INDEX('분류 기준'!$D$5:$D$6,MATCH($C46,'분류 기준'!$A$5:$A$6,0)),2,3))-1)*3+IF($G46&lt;'분류 기준'!$C$9,1,IF($G46&lt;'분류 기준'!$C$10,2,3))))</f>
        <v/>
      </c>
      <c r="I46" s="28"/>
      <c r="J46" s="23" t="str">
        <f aca="false">IF($B46="","",COUNTIFS('수집 현황'!$B$6:$B$105,$B46,'수집 현황'!$AA$6:$AA$105,"PASS"))</f>
        <v/>
      </c>
      <c r="K46" s="23" t="str">
        <f aca="false">IF($B46="","",COUNTIF('자세 수집 현황'!$C46:$J46,"&gt;0"))</f>
        <v/>
      </c>
      <c r="L46" s="10"/>
    </row>
    <row r="47" customFormat="false" ht="15" hidden="false" customHeight="false" outlineLevel="0" collapsed="false">
      <c r="A47" s="28"/>
      <c r="B47" s="28"/>
      <c r="C47" s="29"/>
      <c r="D47" s="28"/>
      <c r="E47" s="28"/>
      <c r="F47" s="28"/>
      <c r="G47" s="30" t="str">
        <f aca="false">IF(AND(ISNUMBER(D47),ISNUMBER(E47)),ROUND(E47/(D47/100)^2,1),"")</f>
        <v/>
      </c>
      <c r="H47" s="22" t="str">
        <f aca="false">IF(OR($C47="",$G47=""),"",INDEX('분류 기준'!$B$5:$B$6,MATCH($C47,'분류 기준'!$A$5:$A$6,0))&amp;((IF($D47&lt;INDEX('분류 기준'!$C$5:$C$6,MATCH($C47,'분류 기준'!$A$5:$A$6,0)),1,IF($D47&lt;INDEX('분류 기준'!$D$5:$D$6,MATCH($C47,'분류 기준'!$A$5:$A$6,0)),2,3))-1)*3+IF($G47&lt;'분류 기준'!$C$9,1,IF($G47&lt;'분류 기준'!$C$10,2,3))))</f>
        <v/>
      </c>
      <c r="I47" s="28"/>
      <c r="J47" s="23" t="str">
        <f aca="false">IF($B47="","",COUNTIFS('수집 현황'!$B$6:$B$105,$B47,'수집 현황'!$AA$6:$AA$105,"PASS"))</f>
        <v/>
      </c>
      <c r="K47" s="23" t="str">
        <f aca="false">IF($B47="","",COUNTIF('자세 수집 현황'!$C47:$J47,"&gt;0"))</f>
        <v/>
      </c>
      <c r="L47" s="10"/>
    </row>
    <row r="48" customFormat="false" ht="15" hidden="false" customHeight="false" outlineLevel="0" collapsed="false">
      <c r="A48" s="28"/>
      <c r="B48" s="28"/>
      <c r="C48" s="29"/>
      <c r="D48" s="28"/>
      <c r="E48" s="28"/>
      <c r="F48" s="28"/>
      <c r="G48" s="30" t="str">
        <f aca="false">IF(AND(ISNUMBER(D48),ISNUMBER(E48)),ROUND(E48/(D48/100)^2,1),"")</f>
        <v/>
      </c>
      <c r="H48" s="22" t="str">
        <f aca="false">IF(OR($C48="",$G48=""),"",INDEX('분류 기준'!$B$5:$B$6,MATCH($C48,'분류 기준'!$A$5:$A$6,0))&amp;((IF($D48&lt;INDEX('분류 기준'!$C$5:$C$6,MATCH($C48,'분류 기준'!$A$5:$A$6,0)),1,IF($D48&lt;INDEX('분류 기준'!$D$5:$D$6,MATCH($C48,'분류 기준'!$A$5:$A$6,0)),2,3))-1)*3+IF($G48&lt;'분류 기준'!$C$9,1,IF($G48&lt;'분류 기준'!$C$10,2,3))))</f>
        <v/>
      </c>
      <c r="I48" s="28"/>
      <c r="J48" s="23" t="str">
        <f aca="false">IF($B48="","",COUNTIFS('수집 현황'!$B$6:$B$105,$B48,'수집 현황'!$AA$6:$AA$105,"PASS"))</f>
        <v/>
      </c>
      <c r="K48" s="23" t="str">
        <f aca="false">IF($B48="","",COUNTIF('자세 수집 현황'!$C48:$J48,"&gt;0"))</f>
        <v/>
      </c>
      <c r="L48" s="10"/>
    </row>
    <row r="49" customFormat="false" ht="15" hidden="false" customHeight="false" outlineLevel="0" collapsed="false">
      <c r="A49" s="28"/>
      <c r="B49" s="28"/>
      <c r="C49" s="29"/>
      <c r="D49" s="28"/>
      <c r="E49" s="28"/>
      <c r="F49" s="28"/>
      <c r="G49" s="30" t="str">
        <f aca="false">IF(AND(ISNUMBER(D49),ISNUMBER(E49)),ROUND(E49/(D49/100)^2,1),"")</f>
        <v/>
      </c>
      <c r="H49" s="22" t="str">
        <f aca="false">IF(OR($C49="",$G49=""),"",INDEX('분류 기준'!$B$5:$B$6,MATCH($C49,'분류 기준'!$A$5:$A$6,0))&amp;((IF($D49&lt;INDEX('분류 기준'!$C$5:$C$6,MATCH($C49,'분류 기준'!$A$5:$A$6,0)),1,IF($D49&lt;INDEX('분류 기준'!$D$5:$D$6,MATCH($C49,'분류 기준'!$A$5:$A$6,0)),2,3))-1)*3+IF($G49&lt;'분류 기준'!$C$9,1,IF($G49&lt;'분류 기준'!$C$10,2,3))))</f>
        <v/>
      </c>
      <c r="I49" s="28"/>
      <c r="J49" s="23" t="str">
        <f aca="false">IF($B49="","",COUNTIFS('수집 현황'!$B$6:$B$105,$B49,'수집 현황'!$AA$6:$AA$105,"PASS"))</f>
        <v/>
      </c>
      <c r="K49" s="23" t="str">
        <f aca="false">IF($B49="","",COUNTIF('자세 수집 현황'!$C49:$J49,"&gt;0"))</f>
        <v/>
      </c>
      <c r="L49" s="10"/>
    </row>
    <row r="50" customFormat="false" ht="15" hidden="false" customHeight="false" outlineLevel="0" collapsed="false">
      <c r="A50" s="28"/>
      <c r="B50" s="28"/>
      <c r="C50" s="29"/>
      <c r="D50" s="28"/>
      <c r="E50" s="28"/>
      <c r="F50" s="28"/>
      <c r="G50" s="30" t="str">
        <f aca="false">IF(AND(ISNUMBER(D50),ISNUMBER(E50)),ROUND(E50/(D50/100)^2,1),"")</f>
        <v/>
      </c>
      <c r="H50" s="22" t="str">
        <f aca="false">IF(OR($C50="",$G50=""),"",INDEX('분류 기준'!$B$5:$B$6,MATCH($C50,'분류 기준'!$A$5:$A$6,0))&amp;((IF($D50&lt;INDEX('분류 기준'!$C$5:$C$6,MATCH($C50,'분류 기준'!$A$5:$A$6,0)),1,IF($D50&lt;INDEX('분류 기준'!$D$5:$D$6,MATCH($C50,'분류 기준'!$A$5:$A$6,0)),2,3))-1)*3+IF($G50&lt;'분류 기준'!$C$9,1,IF($G50&lt;'분류 기준'!$C$10,2,3))))</f>
        <v/>
      </c>
      <c r="I50" s="28"/>
      <c r="J50" s="23" t="str">
        <f aca="false">IF($B50="","",COUNTIFS('수집 현황'!$B$6:$B$105,$B50,'수집 현황'!$AA$6:$AA$105,"PASS"))</f>
        <v/>
      </c>
      <c r="K50" s="23" t="str">
        <f aca="false">IF($B50="","",COUNTIF('자세 수집 현황'!$C50:$J50,"&gt;0"))</f>
        <v/>
      </c>
      <c r="L50" s="10"/>
    </row>
    <row r="51" customFormat="false" ht="15" hidden="false" customHeight="false" outlineLevel="0" collapsed="false">
      <c r="A51" s="28"/>
      <c r="B51" s="28"/>
      <c r="C51" s="29"/>
      <c r="D51" s="28"/>
      <c r="E51" s="28"/>
      <c r="F51" s="28"/>
      <c r="G51" s="30" t="str">
        <f aca="false">IF(AND(ISNUMBER(D51),ISNUMBER(E51)),ROUND(E51/(D51/100)^2,1),"")</f>
        <v/>
      </c>
      <c r="H51" s="22" t="str">
        <f aca="false">IF(OR($C51="",$G51=""),"",INDEX('분류 기준'!$B$5:$B$6,MATCH($C51,'분류 기준'!$A$5:$A$6,0))&amp;((IF($D51&lt;INDEX('분류 기준'!$C$5:$C$6,MATCH($C51,'분류 기준'!$A$5:$A$6,0)),1,IF($D51&lt;INDEX('분류 기준'!$D$5:$D$6,MATCH($C51,'분류 기준'!$A$5:$A$6,0)),2,3))-1)*3+IF($G51&lt;'분류 기준'!$C$9,1,IF($G51&lt;'분류 기준'!$C$10,2,3))))</f>
        <v/>
      </c>
      <c r="I51" s="28"/>
      <c r="J51" s="23" t="str">
        <f aca="false">IF($B51="","",COUNTIFS('수집 현황'!$B$6:$B$105,$B51,'수집 현황'!$AA$6:$AA$105,"PASS"))</f>
        <v/>
      </c>
      <c r="K51" s="23" t="str">
        <f aca="false">IF($B51="","",COUNTIF('자세 수집 현황'!$C51:$J51,"&gt;0"))</f>
        <v/>
      </c>
      <c r="L51" s="10"/>
    </row>
    <row r="52" customFormat="false" ht="15" hidden="false" customHeight="false" outlineLevel="0" collapsed="false">
      <c r="A52" s="28"/>
      <c r="B52" s="28"/>
      <c r="C52" s="29"/>
      <c r="D52" s="28"/>
      <c r="E52" s="28"/>
      <c r="F52" s="28"/>
      <c r="G52" s="30" t="str">
        <f aca="false">IF(AND(ISNUMBER(D52),ISNUMBER(E52)),ROUND(E52/(D52/100)^2,1),"")</f>
        <v/>
      </c>
      <c r="H52" s="22" t="str">
        <f aca="false">IF(OR($C52="",$G52=""),"",INDEX('분류 기준'!$B$5:$B$6,MATCH($C52,'분류 기준'!$A$5:$A$6,0))&amp;((IF($D52&lt;INDEX('분류 기준'!$C$5:$C$6,MATCH($C52,'분류 기준'!$A$5:$A$6,0)),1,IF($D52&lt;INDEX('분류 기준'!$D$5:$D$6,MATCH($C52,'분류 기준'!$A$5:$A$6,0)),2,3))-1)*3+IF($G52&lt;'분류 기준'!$C$9,1,IF($G52&lt;'분류 기준'!$C$10,2,3))))</f>
        <v/>
      </c>
      <c r="I52" s="28"/>
      <c r="J52" s="23" t="str">
        <f aca="false">IF($B52="","",COUNTIFS('수집 현황'!$B$6:$B$105,$B52,'수집 현황'!$AA$6:$AA$105,"PASS"))</f>
        <v/>
      </c>
      <c r="K52" s="23" t="str">
        <f aca="false">IF($B52="","",COUNTIF('자세 수집 현황'!$C52:$J52,"&gt;0"))</f>
        <v/>
      </c>
      <c r="L52" s="10"/>
    </row>
    <row r="53" customFormat="false" ht="15" hidden="false" customHeight="false" outlineLevel="0" collapsed="false">
      <c r="A53" s="28"/>
      <c r="B53" s="28"/>
      <c r="C53" s="29"/>
      <c r="D53" s="28"/>
      <c r="E53" s="28"/>
      <c r="F53" s="28"/>
      <c r="G53" s="30" t="str">
        <f aca="false">IF(AND(ISNUMBER(D53),ISNUMBER(E53)),ROUND(E53/(D53/100)^2,1),"")</f>
        <v/>
      </c>
      <c r="H53" s="22" t="str">
        <f aca="false">IF(OR($C53="",$G53=""),"",INDEX('분류 기준'!$B$5:$B$6,MATCH($C53,'분류 기준'!$A$5:$A$6,0))&amp;((IF($D53&lt;INDEX('분류 기준'!$C$5:$C$6,MATCH($C53,'분류 기준'!$A$5:$A$6,0)),1,IF($D53&lt;INDEX('분류 기준'!$D$5:$D$6,MATCH($C53,'분류 기준'!$A$5:$A$6,0)),2,3))-1)*3+IF($G53&lt;'분류 기준'!$C$9,1,IF($G53&lt;'분류 기준'!$C$10,2,3))))</f>
        <v/>
      </c>
      <c r="I53" s="28"/>
      <c r="J53" s="23" t="str">
        <f aca="false">IF($B53="","",COUNTIFS('수집 현황'!$B$6:$B$105,$B53,'수집 현황'!$AA$6:$AA$105,"PASS"))</f>
        <v/>
      </c>
      <c r="K53" s="23" t="str">
        <f aca="false">IF($B53="","",COUNTIF('자세 수집 현황'!$C53:$J53,"&gt;0"))</f>
        <v/>
      </c>
      <c r="L53" s="10"/>
    </row>
    <row r="54" customFormat="false" ht="15" hidden="false" customHeight="false" outlineLevel="0" collapsed="false">
      <c r="A54" s="28"/>
      <c r="B54" s="28"/>
      <c r="C54" s="29"/>
      <c r="D54" s="28"/>
      <c r="E54" s="28"/>
      <c r="F54" s="28"/>
      <c r="G54" s="30" t="str">
        <f aca="false">IF(AND(ISNUMBER(D54),ISNUMBER(E54)),ROUND(E54/(D54/100)^2,1),"")</f>
        <v/>
      </c>
      <c r="H54" s="22" t="str">
        <f aca="false">IF(OR($C54="",$G54=""),"",INDEX('분류 기준'!$B$5:$B$6,MATCH($C54,'분류 기준'!$A$5:$A$6,0))&amp;((IF($D54&lt;INDEX('분류 기준'!$C$5:$C$6,MATCH($C54,'분류 기준'!$A$5:$A$6,0)),1,IF($D54&lt;INDEX('분류 기준'!$D$5:$D$6,MATCH($C54,'분류 기준'!$A$5:$A$6,0)),2,3))-1)*3+IF($G54&lt;'분류 기준'!$C$9,1,IF($G54&lt;'분류 기준'!$C$10,2,3))))</f>
        <v/>
      </c>
      <c r="I54" s="28"/>
      <c r="J54" s="23" t="str">
        <f aca="false">IF($B54="","",COUNTIFS('수집 현황'!$B$6:$B$105,$B54,'수집 현황'!$AA$6:$AA$105,"PASS"))</f>
        <v/>
      </c>
      <c r="K54" s="23" t="str">
        <f aca="false">IF($B54="","",COUNTIF('자세 수집 현황'!$C54:$J54,"&gt;0"))</f>
        <v/>
      </c>
      <c r="L54" s="10"/>
    </row>
    <row r="55" customFormat="false" ht="15" hidden="false" customHeight="false" outlineLevel="0" collapsed="false">
      <c r="A55" s="28"/>
      <c r="B55" s="28"/>
      <c r="C55" s="29"/>
      <c r="D55" s="28"/>
      <c r="E55" s="28"/>
      <c r="F55" s="28"/>
      <c r="G55" s="30" t="str">
        <f aca="false">IF(AND(ISNUMBER(D55),ISNUMBER(E55)),ROUND(E55/(D55/100)^2,1),"")</f>
        <v/>
      </c>
      <c r="H55" s="22" t="str">
        <f aca="false">IF(OR($C55="",$G55=""),"",INDEX('분류 기준'!$B$5:$B$6,MATCH($C55,'분류 기준'!$A$5:$A$6,0))&amp;((IF($D55&lt;INDEX('분류 기준'!$C$5:$C$6,MATCH($C55,'분류 기준'!$A$5:$A$6,0)),1,IF($D55&lt;INDEX('분류 기준'!$D$5:$D$6,MATCH($C55,'분류 기준'!$A$5:$A$6,0)),2,3))-1)*3+IF($G55&lt;'분류 기준'!$C$9,1,IF($G55&lt;'분류 기준'!$C$10,2,3))))</f>
        <v/>
      </c>
      <c r="I55" s="28"/>
      <c r="J55" s="23" t="str">
        <f aca="false">IF($B55="","",COUNTIFS('수집 현황'!$B$6:$B$105,$B55,'수집 현황'!$AA$6:$AA$105,"PASS"))</f>
        <v/>
      </c>
      <c r="K55" s="23" t="str">
        <f aca="false">IF($B55="","",COUNTIF('자세 수집 현황'!$C55:$J55,"&gt;0"))</f>
        <v/>
      </c>
      <c r="L55" s="10"/>
    </row>
    <row r="57" customFormat="false" ht="15" hidden="false" customHeight="false" outlineLevel="0" collapsed="false">
      <c r="A57" s="20" t="s">
        <v>216</v>
      </c>
    </row>
  </sheetData>
  <dataValidations count="1">
    <dataValidation allowBlank="true" errorStyle="stop" operator="between" showDropDown="false" showErrorMessage="false" showInputMessage="false" sqref="C6:C55" type="list">
      <formula1>"여,남"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4" min="3" style="0" width="26"/>
  </cols>
  <sheetData>
    <row r="1" customFormat="false" ht="18.55" hidden="false" customHeight="false" outlineLevel="0" collapsed="false">
      <c r="A1" s="1" t="s">
        <v>217</v>
      </c>
    </row>
    <row r="2" customFormat="false" ht="15" hidden="false" customHeight="false" outlineLevel="0" collapsed="false">
      <c r="A2" s="20" t="s">
        <v>218</v>
      </c>
    </row>
    <row r="4" customFormat="false" ht="31.5" hidden="false" customHeight="true" outlineLevel="0" collapsed="false">
      <c r="A4" s="6" t="s">
        <v>100</v>
      </c>
      <c r="B4" s="6" t="s">
        <v>219</v>
      </c>
      <c r="C4" s="6" t="s">
        <v>220</v>
      </c>
      <c r="D4" s="6" t="s">
        <v>221</v>
      </c>
    </row>
    <row r="5" customFormat="false" ht="15" hidden="false" customHeight="false" outlineLevel="0" collapsed="false">
      <c r="A5" s="22" t="s">
        <v>111</v>
      </c>
      <c r="B5" s="7" t="s">
        <v>222</v>
      </c>
      <c r="C5" s="28" t="n">
        <v>158</v>
      </c>
      <c r="D5" s="28" t="n">
        <v>165</v>
      </c>
    </row>
    <row r="6" customFormat="false" ht="15" hidden="false" customHeight="false" outlineLevel="0" collapsed="false">
      <c r="A6" s="22" t="s">
        <v>130</v>
      </c>
      <c r="B6" s="7" t="s">
        <v>223</v>
      </c>
      <c r="C6" s="28" t="n">
        <v>170</v>
      </c>
      <c r="D6" s="28" t="n">
        <v>178</v>
      </c>
    </row>
    <row r="8" customFormat="false" ht="31.5" hidden="false" customHeight="true" outlineLevel="0" collapsed="false">
      <c r="A8" s="6" t="s">
        <v>224</v>
      </c>
      <c r="B8" s="6"/>
      <c r="C8" s="27" t="s">
        <v>225</v>
      </c>
      <c r="D8" s="6"/>
    </row>
    <row r="9" customFormat="false" ht="15" hidden="false" customHeight="false" outlineLevel="0" collapsed="false">
      <c r="A9" s="9" t="s">
        <v>226</v>
      </c>
      <c r="B9" s="9"/>
      <c r="C9" s="28" t="n">
        <v>18.5</v>
      </c>
      <c r="D9" s="9"/>
    </row>
    <row r="10" customFormat="false" ht="15" hidden="false" customHeight="false" outlineLevel="0" collapsed="false">
      <c r="A10" s="9" t="s">
        <v>227</v>
      </c>
      <c r="B10" s="9"/>
      <c r="C10" s="28" t="n">
        <v>23</v>
      </c>
      <c r="D10" s="9"/>
    </row>
    <row r="12" customFormat="false" ht="15" hidden="false" customHeight="false" outlineLevel="0" collapsed="false">
      <c r="A12" s="20" t="s">
        <v>228</v>
      </c>
    </row>
    <row r="13" customFormat="false" ht="15" hidden="false" customHeight="false" outlineLevel="0" collapsed="false">
      <c r="A13" s="2" t="s">
        <v>229</v>
      </c>
    </row>
    <row r="14" customFormat="false" ht="15" hidden="false" customHeight="false" outlineLevel="0" collapsed="false">
      <c r="A14" s="20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5" min="4" style="0" width="44"/>
    <col collapsed="false" customWidth="true" hidden="false" outlineLevel="0" max="6" min="6" style="0" width="40"/>
    <col collapsed="false" customWidth="true" hidden="false" outlineLevel="0" max="7" min="7" style="0" width="52"/>
  </cols>
  <sheetData>
    <row r="1" customFormat="false" ht="23.1" hidden="false" customHeight="false" outlineLevel="0" collapsed="false">
      <c r="A1" s="1" t="s">
        <v>231</v>
      </c>
    </row>
    <row r="2" customFormat="false" ht="15" hidden="false" customHeight="false" outlineLevel="0" collapsed="false">
      <c r="A2" s="20" t="s">
        <v>232</v>
      </c>
    </row>
    <row r="3" customFormat="false" ht="15" hidden="false" customHeight="false" outlineLevel="0" collapsed="false">
      <c r="A3" s="20" t="s">
        <v>233</v>
      </c>
    </row>
    <row r="5" customFormat="false" ht="31.5" hidden="false" customHeight="true" outlineLevel="0" collapsed="false">
      <c r="A5" s="6" t="s">
        <v>15</v>
      </c>
      <c r="B5" s="6" t="s">
        <v>234</v>
      </c>
      <c r="C5" s="6" t="s">
        <v>235</v>
      </c>
      <c r="D5" s="6" t="s">
        <v>236</v>
      </c>
      <c r="E5" s="6" t="s">
        <v>237</v>
      </c>
      <c r="F5" s="6" t="s">
        <v>238</v>
      </c>
      <c r="G5" s="6" t="s">
        <v>239</v>
      </c>
    </row>
    <row r="6" customFormat="false" ht="75" hidden="false" customHeight="true" outlineLevel="0" collapsed="false">
      <c r="A6" s="31" t="s">
        <v>20</v>
      </c>
      <c r="B6" s="32" t="s">
        <v>240</v>
      </c>
      <c r="C6" s="10" t="s">
        <v>241</v>
      </c>
      <c r="D6" s="10" t="s">
        <v>242</v>
      </c>
      <c r="E6" s="10" t="s">
        <v>242</v>
      </c>
      <c r="F6" s="33" t="str">
        <f aca="false">IF('합격 기준 수치표'!D6="","","• 방석 총압력 ≥ "&amp;'합격 기준 수치표'!D6&amp;" 원시값 합"&amp;CHAR(10))&amp;IF('합격 기준 수치표'!E6="","","• 방석 총압력 ≤ "&amp;'합격 기준 수치표'!E6&amp;" 원시값 합"&amp;CHAR(10))&amp;IF('합격 기준 수치표'!F6="","","• 등받이 총압력 ≥ "&amp;'합격 기준 수치표'!F6&amp;" 원시값 합"&amp;CHAR(10))&amp;IF('합격 기준 수치표'!G6="","","• 등받이 총압력 ≤ "&amp;'합격 기준 수치표'!G6&amp;" 원시값 합"&amp;CHAR(10))&amp;IF('합격 기준 수치표'!H6="","","• 엉덩이 줄 비중 ≥ "&amp;'합격 기준 수치표'!H6&amp;" %"&amp;CHAR(10))&amp;IF('합격 기준 수치표'!I6="","","• 엉덩이 줄 비중 ≤ "&amp;'합격 기준 수치표'!I6&amp;" %"&amp;CHAR(10))&amp;IF('합격 기준 수치표'!J6="","","• 방석 오른쪽 비율 ≥ "&amp;'합격 기준 수치표'!J6&amp;" %"&amp;CHAR(10))&amp;IF('합격 기준 수치표'!K6="","","• 방석 오른쪽 비율 ≤ "&amp;'합격 기준 수치표'!K6&amp;" %"&amp;CHAR(10))&amp;IF('합격 기준 수치표'!L6="","","• 등받이 오른쪽 비율 ≥ "&amp;'합격 기준 수치표'!L6&amp;" %"&amp;CHAR(10))&amp;IF('합격 기준 수치표'!M6="","","• 등받이 오른쪽 비율 ≤ "&amp;'합격 기준 수치표'!M6&amp;" %"&amp;CHAR(10))&amp;IF('합격 기준 수치표'!N6="","","• 등받이 어깨 줄 비중 ≥ "&amp;'합격 기준 수치표'!N6&amp;" %"&amp;CHAR(10))&amp;IF('합격 기준 수치표'!O6="","","• 등받이 어깨 줄 비중 ≤ "&amp;'합격 기준 수치표'!O6&amp;" %"&amp;CHAR(10))&amp;IF('합격 기준 수치표'!P6="","","• 등받이 반응 채널 수 ≥ "&amp;'합격 기준 수치표'!P6&amp;" 개"&amp;CHAR(10))&amp;IF('합격 기준 수치표'!Q6="","","• 등받이 반응 채널 수 ≤ "&amp;'합격 기준 수치표'!Q6&amp;" 개"&amp;CHAR(10))</f>
        <v>• 방석 총압력 ≤ 300 원시값 합
• 등받이 총압력 ≤ 100 원시값 합
</v>
      </c>
      <c r="G6" s="10" t="s">
        <v>243</v>
      </c>
    </row>
    <row r="7" customFormat="false" ht="81" hidden="false" customHeight="true" outlineLevel="0" collapsed="false">
      <c r="A7" s="31" t="s">
        <v>24</v>
      </c>
      <c r="B7" s="32" t="s">
        <v>244</v>
      </c>
      <c r="C7" s="10" t="s">
        <v>245</v>
      </c>
      <c r="D7" s="10" t="s">
        <v>246</v>
      </c>
      <c r="E7" s="10" t="s">
        <v>247</v>
      </c>
      <c r="F7" s="33" t="str">
        <f aca="false">IF('합격 기준 수치표'!D7="","","• 방석 총압력 ≥ "&amp;'합격 기준 수치표'!D7&amp;" 원시값 합"&amp;CHAR(10))&amp;IF('합격 기준 수치표'!E7="","","• 방석 총압력 ≤ "&amp;'합격 기준 수치표'!E7&amp;" 원시값 합"&amp;CHAR(10))&amp;IF('합격 기준 수치표'!F7="","","• 등받이 총압력 ≥ "&amp;'합격 기준 수치표'!F7&amp;" 원시값 합"&amp;CHAR(10))&amp;IF('합격 기준 수치표'!G7="","","• 등받이 총압력 ≤ "&amp;'합격 기준 수치표'!G7&amp;" 원시값 합"&amp;CHAR(10))&amp;IF('합격 기준 수치표'!H7="","","• 엉덩이 줄 비중 ≥ "&amp;'합격 기준 수치표'!H7&amp;" %"&amp;CHAR(10))&amp;IF('합격 기준 수치표'!I7="","","• 엉덩이 줄 비중 ≤ "&amp;'합격 기준 수치표'!I7&amp;" %"&amp;CHAR(10))&amp;IF('합격 기준 수치표'!J7="","","• 방석 오른쪽 비율 ≥ "&amp;'합격 기준 수치표'!J7&amp;" %"&amp;CHAR(10))&amp;IF('합격 기준 수치표'!K7="","","• 방석 오른쪽 비율 ≤ "&amp;'합격 기준 수치표'!K7&amp;" %"&amp;CHAR(10))&amp;IF('합격 기준 수치표'!L7="","","• 등받이 오른쪽 비율 ≥ "&amp;'합격 기준 수치표'!L7&amp;" %"&amp;CHAR(10))&amp;IF('합격 기준 수치표'!M7="","","• 등받이 오른쪽 비율 ≤ "&amp;'합격 기준 수치표'!M7&amp;" %"&amp;CHAR(10))&amp;IF('합격 기준 수치표'!N7="","","• 등받이 어깨 줄 비중 ≥ "&amp;'합격 기준 수치표'!N7&amp;" %"&amp;CHAR(10))&amp;IF('합격 기준 수치표'!O7="","","• 등받이 어깨 줄 비중 ≤ "&amp;'합격 기준 수치표'!O7&amp;" %"&amp;CHAR(10))&amp;IF('합격 기준 수치표'!P7="","","• 등받이 반응 채널 수 ≥ "&amp;'합격 기준 수치표'!P7&amp;" 개"&amp;CHAR(10))&amp;IF('합격 기준 수치표'!Q7="","","• 등받이 반응 채널 수 ≤ "&amp;'합격 기준 수치표'!Q7&amp;" 개"&amp;CHAR(10))</f>
        <v>• 방석 총압력 ≥ 6000 원시값 합
• 등받이 총압력 ≥ 1000 원시값 합
• 방석 오른쪽 비율 ≥ 40 %
• 방석 오른쪽 비율 ≤ 60 %
• 등받이 반응 채널 수 ≥ 4 개
</v>
      </c>
      <c r="G7" s="10" t="s">
        <v>248</v>
      </c>
    </row>
    <row r="8" customFormat="false" ht="81" hidden="false" customHeight="true" outlineLevel="0" collapsed="false">
      <c r="A8" s="31" t="s">
        <v>29</v>
      </c>
      <c r="B8" s="32" t="s">
        <v>249</v>
      </c>
      <c r="C8" s="10" t="s">
        <v>250</v>
      </c>
      <c r="D8" s="10" t="s">
        <v>251</v>
      </c>
      <c r="E8" s="10" t="s">
        <v>252</v>
      </c>
      <c r="F8" s="33" t="str">
        <f aca="false">IF('합격 기준 수치표'!D8="","","• 방석 총압력 ≥ "&amp;'합격 기준 수치표'!D8&amp;" 원시값 합"&amp;CHAR(10))&amp;IF('합격 기준 수치표'!E8="","","• 방석 총압력 ≤ "&amp;'합격 기준 수치표'!E8&amp;" 원시값 합"&amp;CHAR(10))&amp;IF('합격 기준 수치표'!F8="","","• 등받이 총압력 ≥ "&amp;'합격 기준 수치표'!F8&amp;" 원시값 합"&amp;CHAR(10))&amp;IF('합격 기준 수치표'!G8="","","• 등받이 총압력 ≤ "&amp;'합격 기준 수치표'!G8&amp;" 원시값 합"&amp;CHAR(10))&amp;IF('합격 기준 수치표'!H8="","","• 엉덩이 줄 비중 ≥ "&amp;'합격 기준 수치표'!H8&amp;" %"&amp;CHAR(10))&amp;IF('합격 기준 수치표'!I8="","","• 엉덩이 줄 비중 ≤ "&amp;'합격 기준 수치표'!I8&amp;" %"&amp;CHAR(10))&amp;IF('합격 기준 수치표'!J8="","","• 방석 오른쪽 비율 ≥ "&amp;'합격 기준 수치표'!J8&amp;" %"&amp;CHAR(10))&amp;IF('합격 기준 수치표'!K8="","","• 방석 오른쪽 비율 ≤ "&amp;'합격 기준 수치표'!K8&amp;" %"&amp;CHAR(10))&amp;IF('합격 기준 수치표'!L8="","","• 등받이 오른쪽 비율 ≥ "&amp;'합격 기준 수치표'!L8&amp;" %"&amp;CHAR(10))&amp;IF('합격 기준 수치표'!M8="","","• 등받이 오른쪽 비율 ≤ "&amp;'합격 기준 수치표'!M8&amp;" %"&amp;CHAR(10))&amp;IF('합격 기준 수치표'!N8="","","• 등받이 어깨 줄 비중 ≥ "&amp;'합격 기준 수치표'!N8&amp;" %"&amp;CHAR(10))&amp;IF('합격 기준 수치표'!O8="","","• 등받이 어깨 줄 비중 ≤ "&amp;'합격 기준 수치표'!O8&amp;" %"&amp;CHAR(10))&amp;IF('합격 기준 수치표'!P8="","","• 등받이 반응 채널 수 ≥ "&amp;'합격 기준 수치표'!P8&amp;" 개"&amp;CHAR(10))&amp;IF('합격 기준 수치표'!Q8="","","• 등받이 반응 채널 수 ≤ "&amp;'합격 기준 수치표'!Q8&amp;" 개"&amp;CHAR(10))</f>
        <v>• 방석 총압력 ≥ 6000 원시값 합
• 등받이 총압력 ≤ 100 원시값 합
• 엉덩이 줄 비중 ≤ 32 %
• 방석 오른쪽 비율 ≥ 40 %
• 방석 오른쪽 비율 ≤ 60 %
</v>
      </c>
      <c r="G8" s="10" t="s">
        <v>253</v>
      </c>
    </row>
    <row r="9" customFormat="false" ht="75" hidden="false" customHeight="true" outlineLevel="0" collapsed="false">
      <c r="A9" s="31" t="s">
        <v>34</v>
      </c>
      <c r="B9" s="32" t="s">
        <v>254</v>
      </c>
      <c r="C9" s="10" t="s">
        <v>255</v>
      </c>
      <c r="D9" s="10" t="s">
        <v>256</v>
      </c>
      <c r="E9" s="10" t="s">
        <v>257</v>
      </c>
      <c r="F9" s="33" t="str">
        <f aca="false">IF('합격 기준 수치표'!D9="","","• 방석 총압력 ≥ "&amp;'합격 기준 수치표'!D9&amp;" 원시값 합"&amp;CHAR(10))&amp;IF('합격 기준 수치표'!E9="","","• 방석 총압력 ≤ "&amp;'합격 기준 수치표'!E9&amp;" 원시값 합"&amp;CHAR(10))&amp;IF('합격 기준 수치표'!F9="","","• 등받이 총압력 ≥ "&amp;'합격 기준 수치표'!F9&amp;" 원시값 합"&amp;CHAR(10))&amp;IF('합격 기준 수치표'!G9="","","• 등받이 총압력 ≤ "&amp;'합격 기준 수치표'!G9&amp;" 원시값 합"&amp;CHAR(10))&amp;IF('합격 기준 수치표'!H9="","","• 엉덩이 줄 비중 ≥ "&amp;'합격 기준 수치표'!H9&amp;" %"&amp;CHAR(10))&amp;IF('합격 기준 수치표'!I9="","","• 엉덩이 줄 비중 ≤ "&amp;'합격 기준 수치표'!I9&amp;" %"&amp;CHAR(10))&amp;IF('합격 기준 수치표'!J9="","","• 방석 오른쪽 비율 ≥ "&amp;'합격 기준 수치표'!J9&amp;" %"&amp;CHAR(10))&amp;IF('합격 기준 수치표'!K9="","","• 방석 오른쪽 비율 ≤ "&amp;'합격 기준 수치표'!K9&amp;" %"&amp;CHAR(10))&amp;IF('합격 기준 수치표'!L9="","","• 등받이 오른쪽 비율 ≥ "&amp;'합격 기준 수치표'!L9&amp;" %"&amp;CHAR(10))&amp;IF('합격 기준 수치표'!M9="","","• 등받이 오른쪽 비율 ≤ "&amp;'합격 기준 수치표'!M9&amp;" %"&amp;CHAR(10))&amp;IF('합격 기준 수치표'!N9="","","• 등받이 어깨 줄 비중 ≥ "&amp;'합격 기준 수치표'!N9&amp;" %"&amp;CHAR(10))&amp;IF('합격 기준 수치표'!O9="","","• 등받이 어깨 줄 비중 ≤ "&amp;'합격 기준 수치표'!O9&amp;" %"&amp;CHAR(10))&amp;IF('합격 기준 수치표'!P9="","","• 등받이 반응 채널 수 ≥ "&amp;'합격 기준 수치표'!P9&amp;" 개"&amp;CHAR(10))&amp;IF('합격 기준 수치표'!Q9="","","• 등받이 반응 채널 수 ≤ "&amp;'합격 기준 수치표'!Q9&amp;" 개"&amp;CHAR(10))</f>
        <v>• 방석 총압력 ≥ 6000 원시값 합
• 등받이 총압력 ≥ 500 원시값 합
• 방석 오른쪽 비율 ≤ 46 %
• 등받이 반응 채널 수 ≥ 4 개
</v>
      </c>
      <c r="G9" s="10" t="s">
        <v>258</v>
      </c>
    </row>
    <row r="10" customFormat="false" ht="66" hidden="false" customHeight="true" outlineLevel="0" collapsed="false">
      <c r="A10" s="31" t="s">
        <v>39</v>
      </c>
      <c r="B10" s="32" t="s">
        <v>259</v>
      </c>
      <c r="C10" s="10" t="s">
        <v>260</v>
      </c>
      <c r="D10" s="10" t="s">
        <v>261</v>
      </c>
      <c r="E10" s="10" t="s">
        <v>262</v>
      </c>
      <c r="F10" s="33" t="str">
        <f aca="false">IF('합격 기준 수치표'!D10="","","• 방석 총압력 ≥ "&amp;'합격 기준 수치표'!D10&amp;" 원시값 합"&amp;CHAR(10))&amp;IF('합격 기준 수치표'!E10="","","• 방석 총압력 ≤ "&amp;'합격 기준 수치표'!E10&amp;" 원시값 합"&amp;CHAR(10))&amp;IF('합격 기준 수치표'!F10="","","• 등받이 총압력 ≥ "&amp;'합격 기준 수치표'!F10&amp;" 원시값 합"&amp;CHAR(10))&amp;IF('합격 기준 수치표'!G10="","","• 등받이 총압력 ≤ "&amp;'합격 기준 수치표'!G10&amp;" 원시값 합"&amp;CHAR(10))&amp;IF('합격 기준 수치표'!H10="","","• 엉덩이 줄 비중 ≥ "&amp;'합격 기준 수치표'!H10&amp;" %"&amp;CHAR(10))&amp;IF('합격 기준 수치표'!I10="","","• 엉덩이 줄 비중 ≤ "&amp;'합격 기준 수치표'!I10&amp;" %"&amp;CHAR(10))&amp;IF('합격 기준 수치표'!J10="","","• 방석 오른쪽 비율 ≥ "&amp;'합격 기준 수치표'!J10&amp;" %"&amp;CHAR(10))&amp;IF('합격 기준 수치표'!K10="","","• 방석 오른쪽 비율 ≤ "&amp;'합격 기준 수치표'!K10&amp;" %"&amp;CHAR(10))&amp;IF('합격 기준 수치표'!L10="","","• 등받이 오른쪽 비율 ≥ "&amp;'합격 기준 수치표'!L10&amp;" %"&amp;CHAR(10))&amp;IF('합격 기준 수치표'!M10="","","• 등받이 오른쪽 비율 ≤ "&amp;'합격 기준 수치표'!M10&amp;" %"&amp;CHAR(10))&amp;IF('합격 기준 수치표'!N10="","","• 등받이 어깨 줄 비중 ≥ "&amp;'합격 기준 수치표'!N10&amp;" %"&amp;CHAR(10))&amp;IF('합격 기준 수치표'!O10="","","• 등받이 어깨 줄 비중 ≤ "&amp;'합격 기준 수치표'!O10&amp;" %"&amp;CHAR(10))&amp;IF('합격 기준 수치표'!P10="","","• 등받이 반응 채널 수 ≥ "&amp;'합격 기준 수치표'!P10&amp;" 개"&amp;CHAR(10))&amp;IF('합격 기준 수치표'!Q10="","","• 등받이 반응 채널 수 ≤ "&amp;'합격 기준 수치표'!Q10&amp;" 개"&amp;CHAR(10))</f>
        <v>• 방석 총압력 ≥ 6000 원시값 합
• 등받이 총압력 ≥ 500 원시값 합
• 방석 오른쪽 비율 ≥ 60 %
• 등받이 반응 채널 수 ≥ 4 개
</v>
      </c>
      <c r="G10" s="10" t="s">
        <v>263</v>
      </c>
    </row>
    <row r="11" customFormat="false" ht="81" hidden="false" customHeight="true" outlineLevel="0" collapsed="false">
      <c r="A11" s="31" t="s">
        <v>43</v>
      </c>
      <c r="B11" s="32" t="s">
        <v>264</v>
      </c>
      <c r="C11" s="10" t="s">
        <v>265</v>
      </c>
      <c r="D11" s="10" t="s">
        <v>266</v>
      </c>
      <c r="E11" s="10" t="s">
        <v>267</v>
      </c>
      <c r="F11" s="33" t="str">
        <f aca="false">IF('합격 기준 수치표'!D11="","","• 방석 총압력 ≥ "&amp;'합격 기준 수치표'!D11&amp;" 원시값 합"&amp;CHAR(10))&amp;IF('합격 기준 수치표'!E11="","","• 방석 총압력 ≤ "&amp;'합격 기준 수치표'!E11&amp;" 원시값 합"&amp;CHAR(10))&amp;IF('합격 기준 수치표'!F11="","","• 등받이 총압력 ≥ "&amp;'합격 기준 수치표'!F11&amp;" 원시값 합"&amp;CHAR(10))&amp;IF('합격 기준 수치표'!G11="","","• 등받이 총압력 ≤ "&amp;'합격 기준 수치표'!G11&amp;" 원시값 합"&amp;CHAR(10))&amp;IF('합격 기준 수치표'!H11="","","• 엉덩이 줄 비중 ≥ "&amp;'합격 기준 수치표'!H11&amp;" %"&amp;CHAR(10))&amp;IF('합격 기준 수치표'!I11="","","• 엉덩이 줄 비중 ≤ "&amp;'합격 기준 수치표'!I11&amp;" %"&amp;CHAR(10))&amp;IF('합격 기준 수치표'!J11="","","• 방석 오른쪽 비율 ≥ "&amp;'합격 기준 수치표'!J11&amp;" %"&amp;CHAR(10))&amp;IF('합격 기준 수치표'!K11="","","• 방석 오른쪽 비율 ≤ "&amp;'합격 기준 수치표'!K11&amp;" %"&amp;CHAR(10))&amp;IF('합격 기준 수치표'!L11="","","• 등받이 오른쪽 비율 ≥ "&amp;'합격 기준 수치표'!L11&amp;" %"&amp;CHAR(10))&amp;IF('합격 기준 수치표'!M11="","","• 등받이 오른쪽 비율 ≤ "&amp;'합격 기준 수치표'!M11&amp;" %"&amp;CHAR(10))&amp;IF('합격 기준 수치표'!N11="","","• 등받이 어깨 줄 비중 ≥ "&amp;'합격 기준 수치표'!N11&amp;" %"&amp;CHAR(10))&amp;IF('합격 기준 수치표'!O11="","","• 등받이 어깨 줄 비중 ≤ "&amp;'합격 기준 수치표'!O11&amp;" %"&amp;CHAR(10))&amp;IF('합격 기준 수치표'!P11="","","• 등받이 반응 채널 수 ≥ "&amp;'합격 기준 수치표'!P11&amp;" 개"&amp;CHAR(10))&amp;IF('합격 기준 수치표'!Q11="","","• 등받이 반응 채널 수 ≤ "&amp;'합격 기준 수치표'!Q11&amp;" 개"&amp;CHAR(10))</f>
        <v>• 방석 총압력 ≥ 6000 원시값 합
• 등받이 총압력 ≥ 1000 원시값 합
• 방석 오른쪽 비율 ≥ 52 %
• 등받이 오른쪽 비율 ≥ 80 %
• 등받이 반응 채널 수 ≥ 4 개
</v>
      </c>
      <c r="G11" s="10" t="s">
        <v>268</v>
      </c>
    </row>
    <row r="12" customFormat="false" ht="66" hidden="false" customHeight="true" outlineLevel="0" collapsed="false">
      <c r="A12" s="31" t="s">
        <v>48</v>
      </c>
      <c r="B12" s="32" t="s">
        <v>269</v>
      </c>
      <c r="C12" s="10" t="s">
        <v>270</v>
      </c>
      <c r="D12" s="10" t="s">
        <v>271</v>
      </c>
      <c r="E12" s="10" t="s">
        <v>272</v>
      </c>
      <c r="F12" s="33" t="str">
        <f aca="false">IF('합격 기준 수치표'!D12="","","• 방석 총압력 ≥ "&amp;'합격 기준 수치표'!D12&amp;" 원시값 합"&amp;CHAR(10))&amp;IF('합격 기준 수치표'!E12="","","• 방석 총압력 ≤ "&amp;'합격 기준 수치표'!E12&amp;" 원시값 합"&amp;CHAR(10))&amp;IF('합격 기준 수치표'!F12="","","• 등받이 총압력 ≥ "&amp;'합격 기준 수치표'!F12&amp;" 원시값 합"&amp;CHAR(10))&amp;IF('합격 기준 수치표'!G12="","","• 등받이 총압력 ≤ "&amp;'합격 기준 수치표'!G12&amp;" 원시값 합"&amp;CHAR(10))&amp;IF('합격 기준 수치표'!H12="","","• 엉덩이 줄 비중 ≥ "&amp;'합격 기준 수치표'!H12&amp;" %"&amp;CHAR(10))&amp;IF('합격 기준 수치표'!I12="","","• 엉덩이 줄 비중 ≤ "&amp;'합격 기준 수치표'!I12&amp;" %"&amp;CHAR(10))&amp;IF('합격 기준 수치표'!J12="","","• 방석 오른쪽 비율 ≥ "&amp;'합격 기준 수치표'!J12&amp;" %"&amp;CHAR(10))&amp;IF('합격 기준 수치표'!K12="","","• 방석 오른쪽 비율 ≤ "&amp;'합격 기준 수치표'!K12&amp;" %"&amp;CHAR(10))&amp;IF('합격 기준 수치표'!L12="","","• 등받이 오른쪽 비율 ≥ "&amp;'합격 기준 수치표'!L12&amp;" %"&amp;CHAR(10))&amp;IF('합격 기준 수치표'!M12="","","• 등받이 오른쪽 비율 ≤ "&amp;'합격 기준 수치표'!M12&amp;" %"&amp;CHAR(10))&amp;IF('합격 기준 수치표'!N12="","","• 등받이 어깨 줄 비중 ≥ "&amp;'합격 기준 수치표'!N12&amp;" %"&amp;CHAR(10))&amp;IF('합격 기준 수치표'!O12="","","• 등받이 어깨 줄 비중 ≤ "&amp;'합격 기준 수치표'!O12&amp;" %"&amp;CHAR(10))&amp;IF('합격 기준 수치표'!P12="","","• 등받이 반응 채널 수 ≥ "&amp;'합격 기준 수치표'!P12&amp;" 개"&amp;CHAR(10))&amp;IF('합격 기준 수치표'!Q12="","","• 등받이 반응 채널 수 ≤ "&amp;'합격 기준 수치표'!Q12&amp;" 개"&amp;CHAR(10))</f>
        <v>• 방석 총압력 ≥ 6000 원시값 합
• 등받이 총압력 ≥ 1000 원시값 합
• 등받이 오른쪽 비율 ≤ 20 %
• 등받이 반응 채널 수 ≥ 4 개
</v>
      </c>
      <c r="G12" s="10" t="s">
        <v>273</v>
      </c>
    </row>
    <row r="13" customFormat="false" ht="105" hidden="false" customHeight="true" outlineLevel="0" collapsed="false">
      <c r="A13" s="31" t="s">
        <v>53</v>
      </c>
      <c r="B13" s="32" t="s">
        <v>274</v>
      </c>
      <c r="C13" s="10" t="s">
        <v>275</v>
      </c>
      <c r="D13" s="10" t="s">
        <v>276</v>
      </c>
      <c r="E13" s="10" t="s">
        <v>277</v>
      </c>
      <c r="F13" s="33" t="str">
        <f aca="false">IF('합격 기준 수치표'!D13="","","• 방석 총압력 ≥ "&amp;'합격 기준 수치표'!D13&amp;" 원시값 합"&amp;CHAR(10))&amp;IF('합격 기준 수치표'!E13="","","• 방석 총압력 ≤ "&amp;'합격 기준 수치표'!E13&amp;" 원시값 합"&amp;CHAR(10))&amp;IF('합격 기준 수치표'!F13="","","• 등받이 총압력 ≥ "&amp;'합격 기준 수치표'!F13&amp;" 원시값 합"&amp;CHAR(10))&amp;IF('합격 기준 수치표'!G13="","","• 등받이 총압력 ≤ "&amp;'합격 기준 수치표'!G13&amp;" 원시값 합"&amp;CHAR(10))&amp;IF('합격 기준 수치표'!H13="","","• 엉덩이 줄 비중 ≥ "&amp;'합격 기준 수치표'!H13&amp;" %"&amp;CHAR(10))&amp;IF('합격 기준 수치표'!I13="","","• 엉덩이 줄 비중 ≤ "&amp;'합격 기준 수치표'!I13&amp;" %"&amp;CHAR(10))&amp;IF('합격 기준 수치표'!J13="","","• 방석 오른쪽 비율 ≥ "&amp;'합격 기준 수치표'!J13&amp;" %"&amp;CHAR(10))&amp;IF('합격 기준 수치표'!K13="","","• 방석 오른쪽 비율 ≤ "&amp;'합격 기준 수치표'!K13&amp;" %"&amp;CHAR(10))&amp;IF('합격 기준 수치표'!L13="","","• 등받이 오른쪽 비율 ≥ "&amp;'합격 기준 수치표'!L13&amp;" %"&amp;CHAR(10))&amp;IF('합격 기준 수치표'!M13="","","• 등받이 오른쪽 비율 ≤ "&amp;'합격 기준 수치표'!M13&amp;" %"&amp;CHAR(10))&amp;IF('합격 기준 수치표'!N13="","","• 등받이 어깨 줄 비중 ≥ "&amp;'합격 기준 수치표'!N13&amp;" %"&amp;CHAR(10))&amp;IF('합격 기준 수치표'!O13="","","• 등받이 어깨 줄 비중 ≤ "&amp;'합격 기준 수치표'!O13&amp;" %"&amp;CHAR(10))&amp;IF('합격 기준 수치표'!P13="","","• 등받이 반응 채널 수 ≥ "&amp;'합격 기준 수치표'!P13&amp;" 개"&amp;CHAR(10))&amp;IF('합격 기준 수치표'!Q13="","","• 등받이 반응 채널 수 ≤ "&amp;'합격 기준 수치표'!Q13&amp;" 개"&amp;CHAR(10))</f>
        <v>• 방석 총압력 ≥ 6000 원시값 합
• 등받이 총압력 ≥ 400 원시값 합
• 방석 오른쪽 비율 ≥ 40 %
• 방석 오른쪽 비율 ≤ 60 %
• 등받이 어깨 줄 비중 ≤ 3 %
• 등받이 반응 채널 수 ≥ 3 개
</v>
      </c>
      <c r="G13" s="10" t="s">
        <v>278</v>
      </c>
    </row>
    <row r="16" customFormat="false" ht="15" hidden="false" customHeight="false" outlineLevel="0" collapsed="false">
      <c r="A16" s="13" t="s">
        <v>279</v>
      </c>
    </row>
    <row r="17" customFormat="false" ht="31.5" hidden="false" customHeight="true" outlineLevel="0" collapsed="false">
      <c r="A17" s="6"/>
      <c r="B17" s="6" t="s">
        <v>280</v>
      </c>
      <c r="C17" s="6" t="s">
        <v>281</v>
      </c>
      <c r="D17" s="6" t="s">
        <v>282</v>
      </c>
      <c r="E17" s="6" t="s">
        <v>283</v>
      </c>
      <c r="F17" s="6"/>
      <c r="G17" s="6"/>
    </row>
    <row r="18" customFormat="false" ht="30" hidden="false" customHeight="true" outlineLevel="0" collapsed="false">
      <c r="A18" s="9"/>
      <c r="B18" s="34" t="s">
        <v>284</v>
      </c>
      <c r="C18" s="33" t="str">
        <f aca="false">"길이 "&amp;'합격 기준 수치표'!D18&amp;"~"&amp;'합격 기준 수치표'!D19&amp;"초, 프레임 "&amp;'합격 기준 수치표'!D17&amp;" 이상"</f>
        <v>길이 19~22초, 프레임 1100 이상</v>
      </c>
      <c r="D18" s="10" t="s">
        <v>285</v>
      </c>
      <c r="E18" s="35" t="s">
        <v>286</v>
      </c>
      <c r="F18" s="35"/>
      <c r="G18" s="35"/>
    </row>
    <row r="19" customFormat="false" ht="30" hidden="false" customHeight="true" outlineLevel="0" collapsed="false">
      <c r="A19" s="9"/>
      <c r="B19" s="34" t="s">
        <v>287</v>
      </c>
      <c r="C19" s="33" t="str">
        <f aca="false">"fps "&amp;'합격 기준 수치표'!D20&amp;"~"&amp;'합격 기준 수치표'!D21</f>
        <v>fps 55~70</v>
      </c>
      <c r="D19" s="10" t="s">
        <v>288</v>
      </c>
      <c r="E19" s="35" t="s">
        <v>286</v>
      </c>
      <c r="F19" s="35"/>
      <c r="G19" s="35"/>
    </row>
    <row r="20" customFormat="false" ht="60" hidden="false" customHeight="true" outlineLevel="0" collapsed="false">
      <c r="A20" s="9"/>
      <c r="B20" s="34" t="s">
        <v>289</v>
      </c>
      <c r="C20" s="33" t="str">
        <f aca="false">"방석 흔들림(CV) ≤ "&amp;'합격 기준 수치표'!D22&amp;"%"</f>
        <v>방석 흔들림(CV) ≤ 10%</v>
      </c>
      <c r="D20" s="10" t="s">
        <v>290</v>
      </c>
      <c r="E20" s="35" t="s">
        <v>291</v>
      </c>
      <c r="F20" s="35"/>
      <c r="G20" s="35"/>
    </row>
    <row r="21" customFormat="false" ht="30" hidden="false" customHeight="true" outlineLevel="0" collapsed="false">
      <c r="A21" s="9"/>
      <c r="B21" s="34" t="s">
        <v>292</v>
      </c>
      <c r="C21" s="33" t="str">
        <f aca="false">"포화 비율 ≤ "&amp;'합격 기준 수치표'!D23&amp;"%"</f>
        <v>포화 비율 ≤ 0.5%</v>
      </c>
      <c r="D21" s="10" t="s">
        <v>293</v>
      </c>
      <c r="E21" s="35" t="s">
        <v>294</v>
      </c>
      <c r="F21" s="35"/>
      <c r="G21" s="35"/>
    </row>
    <row r="22" customFormat="false" ht="30" hidden="false" customHeight="true" outlineLevel="0" collapsed="false">
      <c r="A22" s="9"/>
      <c r="B22" s="34" t="s">
        <v>295</v>
      </c>
      <c r="C22" s="33" t="str">
        <f aca="false">"방석 총압력 ≤ "&amp;'합격 기준 수치표'!D24&amp;" 이면 앉지 않음으로 간주"</f>
        <v>방석 총압력 ≤ 300 이면 앉지 않음으로 간주</v>
      </c>
      <c r="D22" s="10" t="s">
        <v>296</v>
      </c>
      <c r="E22" s="35" t="s">
        <v>297</v>
      </c>
      <c r="F22" s="35"/>
      <c r="G22" s="35"/>
    </row>
    <row r="24" customFormat="false" ht="15" hidden="false" customHeight="false" outlineLevel="0" collapsed="false">
      <c r="A24" s="13" t="s">
        <v>298</v>
      </c>
    </row>
    <row r="25" customFormat="false" ht="31.5" hidden="false" customHeight="true" outlineLevel="0" collapsed="false">
      <c r="A25" s="6"/>
      <c r="B25" s="6" t="s">
        <v>280</v>
      </c>
      <c r="C25" s="6" t="s">
        <v>299</v>
      </c>
      <c r="D25" s="6" t="s">
        <v>282</v>
      </c>
      <c r="E25" s="6"/>
      <c r="F25" s="6"/>
      <c r="G25" s="6"/>
    </row>
    <row r="26" customFormat="false" ht="45" hidden="false" customHeight="true" outlineLevel="0" collapsed="false">
      <c r="A26" s="9"/>
      <c r="B26" s="34" t="s">
        <v>300</v>
      </c>
      <c r="C26" s="25" t="s">
        <v>301</v>
      </c>
      <c r="D26" s="10" t="s">
        <v>302</v>
      </c>
      <c r="E26" s="36"/>
      <c r="F26" s="36"/>
      <c r="G26" s="36"/>
    </row>
    <row r="27" customFormat="false" ht="30" hidden="false" customHeight="true" outlineLevel="0" collapsed="false">
      <c r="A27" s="9"/>
      <c r="B27" s="34" t="s">
        <v>303</v>
      </c>
      <c r="C27" s="10" t="s">
        <v>304</v>
      </c>
      <c r="D27" s="10" t="s">
        <v>305</v>
      </c>
      <c r="E27" s="36"/>
      <c r="F27" s="36"/>
      <c r="G27" s="36"/>
    </row>
    <row r="28" customFormat="false" ht="30" hidden="false" customHeight="true" outlineLevel="0" collapsed="false">
      <c r="A28" s="9"/>
      <c r="B28" s="34" t="s">
        <v>306</v>
      </c>
      <c r="C28" s="10" t="s">
        <v>307</v>
      </c>
      <c r="D28" s="10" t="s">
        <v>308</v>
      </c>
      <c r="E28" s="36"/>
      <c r="F28" s="36"/>
      <c r="G28" s="36"/>
    </row>
    <row r="29" customFormat="false" ht="30" hidden="false" customHeight="true" outlineLevel="0" collapsed="false">
      <c r="A29" s="9"/>
      <c r="B29" s="34" t="s">
        <v>309</v>
      </c>
      <c r="C29" s="10" t="s">
        <v>310</v>
      </c>
      <c r="D29" s="10" t="s">
        <v>311</v>
      </c>
      <c r="E29" s="36"/>
      <c r="F29" s="36"/>
      <c r="G29" s="36"/>
    </row>
    <row r="30" customFormat="false" ht="30" hidden="false" customHeight="true" outlineLevel="0" collapsed="false">
      <c r="A30" s="9"/>
      <c r="B30" s="34" t="s">
        <v>312</v>
      </c>
      <c r="C30" s="10" t="s">
        <v>313</v>
      </c>
      <c r="D30" s="10" t="s">
        <v>314</v>
      </c>
      <c r="E30" s="36"/>
      <c r="F30" s="36"/>
      <c r="G30" s="36"/>
    </row>
    <row r="31" customFormat="false" ht="30" hidden="false" customHeight="true" outlineLevel="0" collapsed="false">
      <c r="A31" s="9"/>
      <c r="B31" s="34" t="s">
        <v>315</v>
      </c>
      <c r="C31" s="10" t="s">
        <v>316</v>
      </c>
      <c r="D31" s="10" t="s">
        <v>317</v>
      </c>
      <c r="E31" s="36"/>
      <c r="F31" s="36"/>
      <c r="G31" s="36"/>
    </row>
    <row r="32" customFormat="false" ht="30" hidden="false" customHeight="true" outlineLevel="0" collapsed="false">
      <c r="A32" s="9"/>
      <c r="B32" s="34" t="s">
        <v>318</v>
      </c>
      <c r="C32" s="25" t="s">
        <v>319</v>
      </c>
      <c r="D32" s="10" t="s">
        <v>320</v>
      </c>
      <c r="E32" s="36"/>
      <c r="F32" s="36"/>
      <c r="G32" s="36"/>
    </row>
    <row r="33" customFormat="false" ht="30" hidden="false" customHeight="true" outlineLevel="0" collapsed="false">
      <c r="A33" s="9"/>
      <c r="B33" s="34" t="s">
        <v>321</v>
      </c>
      <c r="C33" s="10" t="s">
        <v>322</v>
      </c>
      <c r="D33" s="10" t="s">
        <v>323</v>
      </c>
      <c r="E33" s="36"/>
      <c r="F33" s="36"/>
      <c r="G33" s="36"/>
    </row>
    <row r="34" customFormat="false" ht="45" hidden="false" customHeight="true" outlineLevel="0" collapsed="false">
      <c r="A34" s="9"/>
      <c r="B34" s="34" t="s">
        <v>324</v>
      </c>
      <c r="C34" s="10" t="s">
        <v>325</v>
      </c>
      <c r="D34" s="10" t="s">
        <v>326</v>
      </c>
      <c r="E34" s="36"/>
      <c r="F34" s="36"/>
      <c r="G34" s="36"/>
    </row>
  </sheetData>
  <mergeCells count="16">
    <mergeCell ref="E17:G17"/>
    <mergeCell ref="E18:G18"/>
    <mergeCell ref="E19:G19"/>
    <mergeCell ref="E20:G20"/>
    <mergeCell ref="E21:G21"/>
    <mergeCell ref="E22:G22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Q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17" min="4" style="0" width="11"/>
  </cols>
  <sheetData>
    <row r="1" customFormat="false" ht="18.55" hidden="false" customHeight="false" outlineLevel="0" collapsed="false">
      <c r="A1" s="1" t="s">
        <v>327</v>
      </c>
    </row>
    <row r="2" customFormat="false" ht="15" hidden="false" customHeight="false" outlineLevel="0" collapsed="false">
      <c r="A2" s="2" t="s">
        <v>328</v>
      </c>
    </row>
    <row r="3" customFormat="false" ht="15" hidden="false" customHeight="false" outlineLevel="0" collapsed="false">
      <c r="A3" s="20" t="s">
        <v>329</v>
      </c>
    </row>
    <row r="4" customFormat="false" ht="30" hidden="false" customHeight="true" outlineLevel="0" collapsed="false">
      <c r="D4" s="37" t="s">
        <v>330</v>
      </c>
      <c r="E4" s="37"/>
      <c r="F4" s="37" t="s">
        <v>331</v>
      </c>
      <c r="G4" s="37"/>
      <c r="H4" s="37" t="s">
        <v>332</v>
      </c>
      <c r="I4" s="37"/>
      <c r="J4" s="37" t="s">
        <v>333</v>
      </c>
      <c r="K4" s="37"/>
      <c r="L4" s="37" t="s">
        <v>334</v>
      </c>
      <c r="M4" s="37"/>
      <c r="N4" s="37" t="s">
        <v>335</v>
      </c>
      <c r="O4" s="37"/>
      <c r="P4" s="37" t="s">
        <v>336</v>
      </c>
      <c r="Q4" s="37"/>
    </row>
    <row r="5" customFormat="false" ht="31.5" hidden="false" customHeight="true" outlineLevel="0" collapsed="false">
      <c r="A5" s="6" t="s">
        <v>15</v>
      </c>
      <c r="B5" s="6" t="s">
        <v>337</v>
      </c>
      <c r="C5" s="6" t="s">
        <v>338</v>
      </c>
      <c r="D5" s="6" t="s">
        <v>339</v>
      </c>
      <c r="E5" s="6" t="s">
        <v>340</v>
      </c>
      <c r="F5" s="6" t="s">
        <v>339</v>
      </c>
      <c r="G5" s="6" t="s">
        <v>340</v>
      </c>
      <c r="H5" s="6" t="s">
        <v>339</v>
      </c>
      <c r="I5" s="6" t="s">
        <v>340</v>
      </c>
      <c r="J5" s="6" t="s">
        <v>339</v>
      </c>
      <c r="K5" s="6" t="s">
        <v>340</v>
      </c>
      <c r="L5" s="6" t="s">
        <v>339</v>
      </c>
      <c r="M5" s="6" t="s">
        <v>340</v>
      </c>
      <c r="N5" s="6" t="s">
        <v>339</v>
      </c>
      <c r="O5" s="6" t="s">
        <v>340</v>
      </c>
      <c r="P5" s="6" t="s">
        <v>339</v>
      </c>
      <c r="Q5" s="6" t="s">
        <v>340</v>
      </c>
    </row>
    <row r="6" customFormat="false" ht="15" hidden="false" customHeight="false" outlineLevel="0" collapsed="false">
      <c r="A6" s="21" t="s">
        <v>20</v>
      </c>
      <c r="B6" s="8" t="s">
        <v>21</v>
      </c>
      <c r="C6" s="9" t="s">
        <v>22</v>
      </c>
      <c r="D6" s="38"/>
      <c r="E6" s="38" t="n">
        <v>300</v>
      </c>
      <c r="F6" s="38"/>
      <c r="G6" s="38" t="n">
        <v>100</v>
      </c>
      <c r="H6" s="39"/>
      <c r="I6" s="39"/>
      <c r="J6" s="39"/>
      <c r="K6" s="39"/>
      <c r="L6" s="39"/>
      <c r="M6" s="39"/>
      <c r="N6" s="39"/>
      <c r="O6" s="39"/>
      <c r="P6" s="40"/>
      <c r="Q6" s="40"/>
    </row>
    <row r="7" customFormat="false" ht="15" hidden="false" customHeight="false" outlineLevel="0" collapsed="false">
      <c r="A7" s="21" t="s">
        <v>24</v>
      </c>
      <c r="B7" s="8" t="s">
        <v>25</v>
      </c>
      <c r="C7" s="9" t="s">
        <v>26</v>
      </c>
      <c r="D7" s="38" t="n">
        <v>6000</v>
      </c>
      <c r="E7" s="38"/>
      <c r="F7" s="38" t="n">
        <v>1000</v>
      </c>
      <c r="G7" s="38"/>
      <c r="H7" s="39"/>
      <c r="I7" s="39"/>
      <c r="J7" s="39" t="n">
        <v>40</v>
      </c>
      <c r="K7" s="39" t="n">
        <v>60</v>
      </c>
      <c r="L7" s="39"/>
      <c r="M7" s="39"/>
      <c r="N7" s="39"/>
      <c r="O7" s="39"/>
      <c r="P7" s="40" t="n">
        <v>4</v>
      </c>
      <c r="Q7" s="40"/>
    </row>
    <row r="8" customFormat="false" ht="15" hidden="false" customHeight="false" outlineLevel="0" collapsed="false">
      <c r="A8" s="21" t="s">
        <v>29</v>
      </c>
      <c r="B8" s="8" t="s">
        <v>30</v>
      </c>
      <c r="C8" s="9" t="s">
        <v>31</v>
      </c>
      <c r="D8" s="38" t="n">
        <v>6000</v>
      </c>
      <c r="E8" s="38"/>
      <c r="F8" s="38"/>
      <c r="G8" s="38" t="n">
        <v>100</v>
      </c>
      <c r="H8" s="39"/>
      <c r="I8" s="39" t="n">
        <v>32</v>
      </c>
      <c r="J8" s="39" t="n">
        <v>40</v>
      </c>
      <c r="K8" s="39" t="n">
        <v>60</v>
      </c>
      <c r="L8" s="39"/>
      <c r="M8" s="39"/>
      <c r="N8" s="39"/>
      <c r="O8" s="39"/>
      <c r="P8" s="40"/>
      <c r="Q8" s="40"/>
    </row>
    <row r="9" customFormat="false" ht="15" hidden="false" customHeight="false" outlineLevel="0" collapsed="false">
      <c r="A9" s="21" t="s">
        <v>34</v>
      </c>
      <c r="B9" s="8" t="s">
        <v>35</v>
      </c>
      <c r="C9" s="9" t="s">
        <v>36</v>
      </c>
      <c r="D9" s="38" t="n">
        <v>6000</v>
      </c>
      <c r="E9" s="38"/>
      <c r="F9" s="38" t="n">
        <v>500</v>
      </c>
      <c r="G9" s="38"/>
      <c r="H9" s="39"/>
      <c r="I9" s="39"/>
      <c r="J9" s="39"/>
      <c r="K9" s="39" t="n">
        <v>46</v>
      </c>
      <c r="L9" s="39"/>
      <c r="M9" s="39"/>
      <c r="N9" s="39"/>
      <c r="O9" s="39"/>
      <c r="P9" s="40" t="n">
        <v>4</v>
      </c>
      <c r="Q9" s="40"/>
    </row>
    <row r="10" customFormat="false" ht="15" hidden="false" customHeight="false" outlineLevel="0" collapsed="false">
      <c r="A10" s="21" t="s">
        <v>39</v>
      </c>
      <c r="B10" s="8" t="s">
        <v>40</v>
      </c>
      <c r="C10" s="9" t="s">
        <v>41</v>
      </c>
      <c r="D10" s="38" t="n">
        <v>6000</v>
      </c>
      <c r="E10" s="38"/>
      <c r="F10" s="38" t="n">
        <v>500</v>
      </c>
      <c r="G10" s="38"/>
      <c r="H10" s="39"/>
      <c r="I10" s="39"/>
      <c r="J10" s="39" t="n">
        <v>60</v>
      </c>
      <c r="K10" s="39"/>
      <c r="L10" s="39"/>
      <c r="M10" s="39"/>
      <c r="N10" s="39"/>
      <c r="O10" s="39"/>
      <c r="P10" s="40" t="n">
        <v>4</v>
      </c>
      <c r="Q10" s="40"/>
    </row>
    <row r="11" customFormat="false" ht="15" hidden="false" customHeight="false" outlineLevel="0" collapsed="false">
      <c r="A11" s="21" t="s">
        <v>43</v>
      </c>
      <c r="B11" s="8" t="s">
        <v>44</v>
      </c>
      <c r="C11" s="9" t="s">
        <v>45</v>
      </c>
      <c r="D11" s="38" t="n">
        <v>6000</v>
      </c>
      <c r="E11" s="38"/>
      <c r="F11" s="38" t="n">
        <v>1000</v>
      </c>
      <c r="G11" s="38"/>
      <c r="H11" s="39"/>
      <c r="I11" s="39"/>
      <c r="J11" s="39" t="n">
        <v>52</v>
      </c>
      <c r="K11" s="39"/>
      <c r="L11" s="39" t="n">
        <v>80</v>
      </c>
      <c r="M11" s="39"/>
      <c r="N11" s="39"/>
      <c r="O11" s="39"/>
      <c r="P11" s="40" t="n">
        <v>4</v>
      </c>
      <c r="Q11" s="40"/>
    </row>
    <row r="12" customFormat="false" ht="15" hidden="false" customHeight="false" outlineLevel="0" collapsed="false">
      <c r="A12" s="21" t="s">
        <v>48</v>
      </c>
      <c r="B12" s="8" t="s">
        <v>49</v>
      </c>
      <c r="C12" s="9" t="s">
        <v>50</v>
      </c>
      <c r="D12" s="38" t="n">
        <v>6000</v>
      </c>
      <c r="E12" s="38"/>
      <c r="F12" s="38" t="n">
        <v>1000</v>
      </c>
      <c r="G12" s="38"/>
      <c r="H12" s="39"/>
      <c r="I12" s="39"/>
      <c r="J12" s="39"/>
      <c r="K12" s="39"/>
      <c r="L12" s="39"/>
      <c r="M12" s="39" t="n">
        <v>20</v>
      </c>
      <c r="N12" s="39"/>
      <c r="O12" s="39"/>
      <c r="P12" s="40" t="n">
        <v>4</v>
      </c>
      <c r="Q12" s="40"/>
    </row>
    <row r="13" customFormat="false" ht="15" hidden="false" customHeight="false" outlineLevel="0" collapsed="false">
      <c r="A13" s="21" t="s">
        <v>53</v>
      </c>
      <c r="B13" s="8" t="s">
        <v>54</v>
      </c>
      <c r="C13" s="9" t="s">
        <v>55</v>
      </c>
      <c r="D13" s="38" t="n">
        <v>6000</v>
      </c>
      <c r="E13" s="38"/>
      <c r="F13" s="38" t="n">
        <v>400</v>
      </c>
      <c r="G13" s="38"/>
      <c r="H13" s="39"/>
      <c r="I13" s="39"/>
      <c r="J13" s="39" t="n">
        <v>40</v>
      </c>
      <c r="K13" s="39" t="n">
        <v>60</v>
      </c>
      <c r="L13" s="39"/>
      <c r="M13" s="39"/>
      <c r="N13" s="39"/>
      <c r="O13" s="39" t="n">
        <v>3</v>
      </c>
      <c r="P13" s="40" t="n">
        <v>3</v>
      </c>
      <c r="Q13" s="40"/>
    </row>
    <row r="15" customFormat="false" ht="15" hidden="false" customHeight="false" outlineLevel="0" collapsed="false">
      <c r="A15" s="13" t="s">
        <v>341</v>
      </c>
    </row>
    <row r="16" customFormat="false" ht="31.5" hidden="false" customHeight="true" outlineLevel="0" collapsed="false">
      <c r="A16" s="6" t="s">
        <v>280</v>
      </c>
      <c r="B16" s="6"/>
      <c r="C16" s="6"/>
      <c r="D16" s="6" t="s">
        <v>14</v>
      </c>
      <c r="E16" s="6" t="s">
        <v>342</v>
      </c>
      <c r="F16" s="6"/>
      <c r="G16" s="6"/>
      <c r="H16" s="6"/>
      <c r="I16" s="6"/>
      <c r="J16" s="6"/>
      <c r="K16" s="6"/>
      <c r="L16" s="6"/>
      <c r="M16" s="6"/>
      <c r="N16" s="6"/>
    </row>
    <row r="17" customFormat="false" ht="15" hidden="false" customHeight="true" outlineLevel="0" collapsed="false">
      <c r="A17" s="41" t="s">
        <v>343</v>
      </c>
      <c r="B17" s="41"/>
      <c r="C17" s="41"/>
      <c r="D17" s="28" t="n">
        <v>1100</v>
      </c>
      <c r="E17" s="42" t="s">
        <v>344</v>
      </c>
      <c r="F17" s="42"/>
      <c r="G17" s="42"/>
      <c r="H17" s="42"/>
      <c r="I17" s="42"/>
      <c r="J17" s="42"/>
      <c r="K17" s="42"/>
      <c r="L17" s="42"/>
      <c r="M17" s="42"/>
      <c r="N17" s="42"/>
    </row>
    <row r="18" customFormat="false" ht="15" hidden="false" customHeight="true" outlineLevel="0" collapsed="false">
      <c r="A18" s="41" t="s">
        <v>345</v>
      </c>
      <c r="B18" s="41"/>
      <c r="C18" s="41"/>
      <c r="D18" s="28" t="n">
        <v>19</v>
      </c>
      <c r="E18" s="35" t="s">
        <v>346</v>
      </c>
      <c r="F18" s="35"/>
      <c r="G18" s="35"/>
      <c r="H18" s="35"/>
      <c r="I18" s="35"/>
      <c r="J18" s="35"/>
      <c r="K18" s="35"/>
      <c r="L18" s="35"/>
      <c r="M18" s="35"/>
      <c r="N18" s="35"/>
    </row>
    <row r="19" customFormat="false" ht="15" hidden="false" customHeight="false" outlineLevel="0" collapsed="false">
      <c r="A19" s="41" t="s">
        <v>347</v>
      </c>
      <c r="B19" s="41"/>
      <c r="C19" s="41"/>
      <c r="D19" s="28" t="n">
        <v>22</v>
      </c>
      <c r="E19" s="35"/>
      <c r="F19" s="35"/>
      <c r="G19" s="35"/>
      <c r="H19" s="35"/>
      <c r="I19" s="35"/>
      <c r="J19" s="35"/>
      <c r="K19" s="35"/>
      <c r="L19" s="35"/>
      <c r="M19" s="35"/>
      <c r="N19" s="35"/>
    </row>
    <row r="20" customFormat="false" ht="15" hidden="false" customHeight="true" outlineLevel="0" collapsed="false">
      <c r="A20" s="36" t="s">
        <v>348</v>
      </c>
      <c r="B20" s="36"/>
      <c r="C20" s="36"/>
      <c r="D20" s="28" t="n">
        <v>55</v>
      </c>
      <c r="E20" s="35" t="s">
        <v>349</v>
      </c>
      <c r="F20" s="35"/>
      <c r="G20" s="35"/>
      <c r="H20" s="35"/>
      <c r="I20" s="35"/>
      <c r="J20" s="35"/>
      <c r="K20" s="35"/>
      <c r="L20" s="35"/>
      <c r="M20" s="35"/>
      <c r="N20" s="35"/>
    </row>
    <row r="21" customFormat="false" ht="15" hidden="false" customHeight="false" outlineLevel="0" collapsed="false">
      <c r="A21" s="36" t="s">
        <v>350</v>
      </c>
      <c r="B21" s="36"/>
      <c r="C21" s="36"/>
      <c r="D21" s="28" t="n">
        <v>70</v>
      </c>
      <c r="E21" s="35"/>
      <c r="F21" s="35"/>
      <c r="G21" s="35"/>
      <c r="H21" s="35"/>
      <c r="I21" s="35"/>
      <c r="J21" s="35"/>
      <c r="K21" s="35"/>
      <c r="L21" s="35"/>
      <c r="M21" s="35"/>
      <c r="N21" s="35"/>
    </row>
    <row r="22" customFormat="false" ht="15" hidden="false" customHeight="true" outlineLevel="0" collapsed="false">
      <c r="A22" s="41" t="s">
        <v>351</v>
      </c>
      <c r="B22" s="41"/>
      <c r="C22" s="41"/>
      <c r="D22" s="28" t="n">
        <v>10</v>
      </c>
      <c r="E22" s="35" t="s">
        <v>352</v>
      </c>
      <c r="F22" s="35"/>
      <c r="G22" s="35"/>
      <c r="H22" s="35"/>
      <c r="I22" s="35"/>
      <c r="J22" s="35"/>
      <c r="K22" s="35"/>
      <c r="L22" s="35"/>
      <c r="M22" s="35"/>
      <c r="N22" s="35"/>
    </row>
    <row r="23" customFormat="false" ht="15" hidden="false" customHeight="true" outlineLevel="0" collapsed="false">
      <c r="A23" s="41" t="s">
        <v>353</v>
      </c>
      <c r="B23" s="41"/>
      <c r="C23" s="41"/>
      <c r="D23" s="28" t="n">
        <v>0.5</v>
      </c>
      <c r="E23" s="35" t="s">
        <v>354</v>
      </c>
      <c r="F23" s="35"/>
      <c r="G23" s="35"/>
      <c r="H23" s="35"/>
      <c r="I23" s="35"/>
      <c r="J23" s="35"/>
      <c r="K23" s="35"/>
      <c r="L23" s="35"/>
      <c r="M23" s="35"/>
      <c r="N23" s="35"/>
    </row>
    <row r="24" customFormat="false" ht="15" hidden="false" customHeight="true" outlineLevel="0" collapsed="false">
      <c r="A24" s="41" t="s">
        <v>355</v>
      </c>
      <c r="B24" s="41"/>
      <c r="C24" s="41"/>
      <c r="D24" s="28" t="n">
        <v>300</v>
      </c>
      <c r="E24" s="35" t="s">
        <v>356</v>
      </c>
      <c r="F24" s="35"/>
      <c r="G24" s="35"/>
      <c r="H24" s="35"/>
      <c r="I24" s="35"/>
      <c r="J24" s="35"/>
      <c r="K24" s="35"/>
      <c r="L24" s="35"/>
      <c r="M24" s="35"/>
      <c r="N24" s="35"/>
    </row>
    <row r="26" customFormat="false" ht="15" hidden="false" customHeight="false" outlineLevel="0" collapsed="false">
      <c r="A26" s="20" t="s">
        <v>357</v>
      </c>
    </row>
  </sheetData>
  <mergeCells count="25">
    <mergeCell ref="D4:E4"/>
    <mergeCell ref="F4:G4"/>
    <mergeCell ref="H4:I4"/>
    <mergeCell ref="J4:K4"/>
    <mergeCell ref="L4:M4"/>
    <mergeCell ref="N4:O4"/>
    <mergeCell ref="P4:Q4"/>
    <mergeCell ref="A16:C16"/>
    <mergeCell ref="E16:N16"/>
    <mergeCell ref="A17:C17"/>
    <mergeCell ref="E17:N17"/>
    <mergeCell ref="A18:C18"/>
    <mergeCell ref="E18:N18"/>
    <mergeCell ref="A19:C19"/>
    <mergeCell ref="E19:N19"/>
    <mergeCell ref="A20:C20"/>
    <mergeCell ref="E20:N20"/>
    <mergeCell ref="A21:C21"/>
    <mergeCell ref="E21:N21"/>
    <mergeCell ref="A22:C22"/>
    <mergeCell ref="E22:N22"/>
    <mergeCell ref="A23:C23"/>
    <mergeCell ref="E23:N23"/>
    <mergeCell ref="A24:C24"/>
    <mergeCell ref="E24:N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AA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"/>
    <col collapsed="false" customWidth="true" hidden="false" outlineLevel="0" max="3" min="3" style="0" width="17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15" min="8" style="0" width="11"/>
    <col collapsed="false" customWidth="true" hidden="false" outlineLevel="0" max="16" min="16" style="0" width="10"/>
    <col collapsed="false" customWidth="true" hidden="false" outlineLevel="0" max="18" min="17" style="0" width="7"/>
    <col collapsed="false" customWidth="true" hidden="false" outlineLevel="0" max="25" min="19" style="0" width="11"/>
    <col collapsed="false" customWidth="true" hidden="false" outlineLevel="0" max="26" min="26" style="0" width="7"/>
    <col collapsed="false" customWidth="true" hidden="false" outlineLevel="0" max="27" min="27" style="0" width="9"/>
  </cols>
  <sheetData>
    <row r="1" customFormat="false" ht="23.1" hidden="false" customHeight="false" outlineLevel="0" collapsed="false">
      <c r="A1" s="1" t="s">
        <v>358</v>
      </c>
    </row>
    <row r="2" customFormat="false" ht="15" hidden="false" customHeight="false" outlineLevel="0" collapsed="false">
      <c r="A2" s="2" t="s">
        <v>359</v>
      </c>
    </row>
    <row r="3" customFormat="false" ht="15" hidden="false" customHeight="false" outlineLevel="0" collapsed="false">
      <c r="A3" s="20" t="s">
        <v>360</v>
      </c>
    </row>
    <row r="5" customFormat="false" ht="45.75" hidden="false" customHeight="true" outlineLevel="0" collapsed="false">
      <c r="A5" s="6" t="s">
        <v>361</v>
      </c>
      <c r="B5" s="27" t="s">
        <v>362</v>
      </c>
      <c r="C5" s="6" t="s">
        <v>234</v>
      </c>
      <c r="D5" s="6" t="s">
        <v>363</v>
      </c>
      <c r="E5" s="6" t="s">
        <v>364</v>
      </c>
      <c r="F5" s="6" t="s">
        <v>365</v>
      </c>
      <c r="G5" s="27" t="s">
        <v>366</v>
      </c>
      <c r="H5" s="6" t="s">
        <v>367</v>
      </c>
      <c r="I5" s="6" t="s">
        <v>368</v>
      </c>
      <c r="J5" s="6" t="s">
        <v>369</v>
      </c>
      <c r="K5" s="6" t="s">
        <v>370</v>
      </c>
      <c r="L5" s="6" t="s">
        <v>371</v>
      </c>
      <c r="M5" s="6" t="s">
        <v>372</v>
      </c>
      <c r="N5" s="6" t="s">
        <v>373</v>
      </c>
      <c r="O5" s="6" t="s">
        <v>374</v>
      </c>
      <c r="P5" s="6" t="s">
        <v>375</v>
      </c>
      <c r="Q5" s="6" t="s">
        <v>376</v>
      </c>
      <c r="R5" s="6" t="s">
        <v>377</v>
      </c>
      <c r="S5" s="6" t="s">
        <v>367</v>
      </c>
      <c r="T5" s="6" t="s">
        <v>368</v>
      </c>
      <c r="U5" s="6" t="s">
        <v>378</v>
      </c>
      <c r="V5" s="6" t="s">
        <v>379</v>
      </c>
      <c r="W5" s="6" t="s">
        <v>380</v>
      </c>
      <c r="X5" s="6" t="s">
        <v>381</v>
      </c>
      <c r="Y5" s="6" t="s">
        <v>373</v>
      </c>
      <c r="Z5" s="6" t="s">
        <v>382</v>
      </c>
      <c r="AA5" s="6" t="s">
        <v>383</v>
      </c>
    </row>
    <row r="6" customFormat="false" ht="15" hidden="false" customHeight="false" outlineLevel="0" collapsed="false">
      <c r="A6" s="43" t="s">
        <v>384</v>
      </c>
      <c r="B6" s="43" t="s">
        <v>210</v>
      </c>
      <c r="C6" s="43" t="s">
        <v>40</v>
      </c>
      <c r="D6" s="44" t="n">
        <v>1</v>
      </c>
      <c r="E6" s="44" t="n">
        <v>1245</v>
      </c>
      <c r="F6" s="44" t="n">
        <v>20</v>
      </c>
      <c r="G6" s="44" t="n">
        <v>62.3</v>
      </c>
      <c r="H6" s="45" t="n">
        <v>12081</v>
      </c>
      <c r="I6" s="45" t="n">
        <v>1757</v>
      </c>
      <c r="J6" s="46" t="n">
        <v>56.6</v>
      </c>
      <c r="K6" s="46" t="n">
        <v>63.9</v>
      </c>
      <c r="L6" s="46" t="n">
        <v>55</v>
      </c>
      <c r="M6" s="46" t="n">
        <v>0</v>
      </c>
      <c r="N6" s="44" t="n">
        <v>12</v>
      </c>
      <c r="O6" s="46" t="n">
        <v>1.1</v>
      </c>
      <c r="P6" s="47" t="n">
        <v>0</v>
      </c>
      <c r="Q6" s="23" t="n">
        <f aca="false">IF($A6="","",IFERROR(MATCH($C6,'합격 기준 수치표'!$B$6:$B$13,0),0))</f>
        <v>5</v>
      </c>
      <c r="R6" s="23" t="str">
        <f aca="false">IF($A6="","",IF(AND(E6&gt;='합격 기준 수치표'!$D$17,F6&gt;='합격 기준 수치표'!$D$18,F6&lt;='합격 기준 수치표'!$D$19,G6&gt;='합격 기준 수치표'!$D$20,G6&lt;='합격 기준 수치표'!$D$21,P6&lt;='합격 기준 수치표'!$D$23,OR(H6&lt;='합격 기준 수치표'!$D$24,O6="",O6&lt;='합격 기준 수치표'!$D$22)),"OK","X"))</f>
        <v>OK</v>
      </c>
      <c r="S6" s="23" t="str">
        <f aca="false">IF($A6="","",IF($Q6=0,"?",IF(AND(INDEX('합격 기준 수치표'!$D$6:$D$13,$Q6)="",INDEX('합격 기준 수치표'!$E$6:$E$13,$Q6)=""),"-",IF(H6="","N/A",IF(OR(AND(INDEX('합격 기준 수치표'!$D$6:$D$13,$Q6)&lt;&gt;"",H6&lt;INDEX('합격 기준 수치표'!$D$6:$D$13,$Q6)),AND(INDEX('합격 기준 수치표'!$E$6:$E$13,$Q6)&lt;&gt;"",H6&gt;INDEX('합격 기준 수치표'!$E$6:$E$13,$Q6))),"X","OK")))))</f>
        <v>OK</v>
      </c>
      <c r="T6" s="23" t="str">
        <f aca="false">IF($A6="","",IF($Q6=0,"?",IF(AND(INDEX('합격 기준 수치표'!$F$6:$F$13,$Q6)="",INDEX('합격 기준 수치표'!$G$6:$G$13,$Q6)=""),"-",IF(I6="","N/A",IF(OR(AND(INDEX('합격 기준 수치표'!$F$6:$F$13,$Q6)&lt;&gt;"",I6&lt;INDEX('합격 기준 수치표'!$F$6:$F$13,$Q6)),AND(INDEX('합격 기준 수치표'!$G$6:$G$13,$Q6)&lt;&gt;"",I6&gt;INDEX('합격 기준 수치표'!$G$6:$G$13,$Q6))),"X","OK")))))</f>
        <v>OK</v>
      </c>
      <c r="U6" s="23" t="str">
        <f aca="false">IF($A6="","",IF($Q6=0,"?",IF(AND(INDEX('합격 기준 수치표'!$H$6:$H$13,$Q6)="",INDEX('합격 기준 수치표'!$I$6:$I$13,$Q6)=""),"-",IF(J6="","N/A",IF(OR(AND(INDEX('합격 기준 수치표'!$H$6:$H$13,$Q6)&lt;&gt;"",J6&lt;INDEX('합격 기준 수치표'!$H$6:$H$13,$Q6)),AND(INDEX('합격 기준 수치표'!$I$6:$I$13,$Q6)&lt;&gt;"",J6&gt;INDEX('합격 기준 수치표'!$I$6:$I$13,$Q6))),"X","OK")))))</f>
        <v>-</v>
      </c>
      <c r="V6" s="23" t="str">
        <f aca="false">IF($A6="","",IF($Q6=0,"?",IF(AND(INDEX('합격 기준 수치표'!$J$6:$J$13,$Q6)="",INDEX('합격 기준 수치표'!$K$6:$K$13,$Q6)=""),"-",IF(K6="","N/A",IF(OR(AND(INDEX('합격 기준 수치표'!$J$6:$J$13,$Q6)&lt;&gt;"",K6&lt;INDEX('합격 기준 수치표'!$J$6:$J$13,$Q6)),AND(INDEX('합격 기준 수치표'!$K$6:$K$13,$Q6)&lt;&gt;"",K6&gt;INDEX('합격 기준 수치표'!$K$6:$K$13,$Q6))),"X","OK")))))</f>
        <v>OK</v>
      </c>
      <c r="W6" s="23" t="str">
        <f aca="false">IF($A6="","",IF($Q6=0,"?",IF(AND(INDEX('합격 기준 수치표'!$L$6:$L$13,$Q6)="",INDEX('합격 기준 수치표'!$M$6:$M$13,$Q6)=""),"-",IF(L6="","N/A",IF(OR(AND(INDEX('합격 기준 수치표'!$L$6:$L$13,$Q6)&lt;&gt;"",L6&lt;INDEX('합격 기준 수치표'!$L$6:$L$13,$Q6)),AND(INDEX('합격 기준 수치표'!$M$6:$M$13,$Q6)&lt;&gt;"",L6&gt;INDEX('합격 기준 수치표'!$M$6:$M$13,$Q6))),"X","OK")))))</f>
        <v>-</v>
      </c>
      <c r="X6" s="23" t="str">
        <f aca="false">IF($A6="","",IF($Q6=0,"?",IF(AND(INDEX('합격 기준 수치표'!$N$6:$N$13,$Q6)="",INDEX('합격 기준 수치표'!$O$6:$O$13,$Q6)=""),"-",IF(M6="","N/A",IF(OR(AND(INDEX('합격 기준 수치표'!$N$6:$N$13,$Q6)&lt;&gt;"",M6&lt;INDEX('합격 기준 수치표'!$N$6:$N$13,$Q6)),AND(INDEX('합격 기준 수치표'!$O$6:$O$13,$Q6)&lt;&gt;"",M6&gt;INDEX('합격 기준 수치표'!$O$6:$O$13,$Q6))),"X","OK")))))</f>
        <v>-</v>
      </c>
      <c r="Y6" s="23" t="str">
        <f aca="false">IF($A6="","",IF($Q6=0,"?",IF(AND(INDEX('합격 기준 수치표'!$P$6:$P$13,$Q6)="",INDEX('합격 기준 수치표'!$Q$6:$Q$13,$Q6)=""),"-",IF(N6="","N/A",IF(OR(AND(INDEX('합격 기준 수치표'!$P$6:$P$13,$Q6)&lt;&gt;"",N6&lt;INDEX('합격 기준 수치표'!$P$6:$P$13,$Q6)),AND(INDEX('합격 기준 수치표'!$Q$6:$Q$13,$Q6)&lt;&gt;"",N6&gt;INDEX('합격 기준 수치표'!$Q$6:$Q$13,$Q6))),"X","OK")))))</f>
        <v>OK</v>
      </c>
      <c r="Z6" s="48" t="n">
        <f aca="false">IF($A6="","",COUNTIF($S6:$Y6,"X")+IF($R6="X",1,0))</f>
        <v>0</v>
      </c>
      <c r="AA6" s="21" t="str">
        <f aca="false">IF($A6="","",IF($Q6=0,"자세명 확인",IF($Z6=0,"PASS","FAIL")))</f>
        <v>PASS</v>
      </c>
    </row>
    <row r="7" customFormat="false" ht="15" hidden="false" customHeight="false" outlineLevel="0" collapsed="false">
      <c r="A7" s="43" t="s">
        <v>385</v>
      </c>
      <c r="B7" s="43" t="s">
        <v>210</v>
      </c>
      <c r="C7" s="43" t="s">
        <v>35</v>
      </c>
      <c r="D7" s="44" t="n">
        <v>1</v>
      </c>
      <c r="E7" s="44" t="n">
        <v>1244</v>
      </c>
      <c r="F7" s="44" t="n">
        <v>20</v>
      </c>
      <c r="G7" s="44" t="n">
        <v>62.3</v>
      </c>
      <c r="H7" s="45" t="n">
        <v>10586</v>
      </c>
      <c r="I7" s="45" t="n">
        <v>2782</v>
      </c>
      <c r="J7" s="46" t="n">
        <v>61.4</v>
      </c>
      <c r="K7" s="46" t="n">
        <v>39.2</v>
      </c>
      <c r="L7" s="46" t="n">
        <v>41.8</v>
      </c>
      <c r="M7" s="46" t="n">
        <v>0</v>
      </c>
      <c r="N7" s="44" t="n">
        <v>14</v>
      </c>
      <c r="O7" s="46" t="n">
        <v>5.8</v>
      </c>
      <c r="P7" s="47" t="n">
        <v>0</v>
      </c>
      <c r="Q7" s="23" t="n">
        <f aca="false">IF($A7="","",IFERROR(MATCH($C7,'합격 기준 수치표'!$B$6:$B$13,0),0))</f>
        <v>4</v>
      </c>
      <c r="R7" s="23" t="str">
        <f aca="false">IF($A7="","",IF(AND(E7&gt;='합격 기준 수치표'!$D$17,F7&gt;='합격 기준 수치표'!$D$18,F7&lt;='합격 기준 수치표'!$D$19,G7&gt;='합격 기준 수치표'!$D$20,G7&lt;='합격 기준 수치표'!$D$21,P7&lt;='합격 기준 수치표'!$D$23,OR(H7&lt;='합격 기준 수치표'!$D$24,O7="",O7&lt;='합격 기준 수치표'!$D$22)),"OK","X"))</f>
        <v>OK</v>
      </c>
      <c r="S7" s="23" t="str">
        <f aca="false">IF($A7="","",IF($Q7=0,"?",IF(AND(INDEX('합격 기준 수치표'!$D$6:$D$13,$Q7)="",INDEX('합격 기준 수치표'!$E$6:$E$13,$Q7)=""),"-",IF(H7="","N/A",IF(OR(AND(INDEX('합격 기준 수치표'!$D$6:$D$13,$Q7)&lt;&gt;"",H7&lt;INDEX('합격 기준 수치표'!$D$6:$D$13,$Q7)),AND(INDEX('합격 기준 수치표'!$E$6:$E$13,$Q7)&lt;&gt;"",H7&gt;INDEX('합격 기준 수치표'!$E$6:$E$13,$Q7))),"X","OK")))))</f>
        <v>OK</v>
      </c>
      <c r="T7" s="23" t="str">
        <f aca="false">IF($A7="","",IF($Q7=0,"?",IF(AND(INDEX('합격 기준 수치표'!$F$6:$F$13,$Q7)="",INDEX('합격 기준 수치표'!$G$6:$G$13,$Q7)=""),"-",IF(I7="","N/A",IF(OR(AND(INDEX('합격 기준 수치표'!$F$6:$F$13,$Q7)&lt;&gt;"",I7&lt;INDEX('합격 기준 수치표'!$F$6:$F$13,$Q7)),AND(INDEX('합격 기준 수치표'!$G$6:$G$13,$Q7)&lt;&gt;"",I7&gt;INDEX('합격 기준 수치표'!$G$6:$G$13,$Q7))),"X","OK")))))</f>
        <v>OK</v>
      </c>
      <c r="U7" s="23" t="str">
        <f aca="false">IF($A7="","",IF($Q7=0,"?",IF(AND(INDEX('합격 기준 수치표'!$H$6:$H$13,$Q7)="",INDEX('합격 기준 수치표'!$I$6:$I$13,$Q7)=""),"-",IF(J7="","N/A",IF(OR(AND(INDEX('합격 기준 수치표'!$H$6:$H$13,$Q7)&lt;&gt;"",J7&lt;INDEX('합격 기준 수치표'!$H$6:$H$13,$Q7)),AND(INDEX('합격 기준 수치표'!$I$6:$I$13,$Q7)&lt;&gt;"",J7&gt;INDEX('합격 기준 수치표'!$I$6:$I$13,$Q7))),"X","OK")))))</f>
        <v>-</v>
      </c>
      <c r="V7" s="23" t="str">
        <f aca="false">IF($A7="","",IF($Q7=0,"?",IF(AND(INDEX('합격 기준 수치표'!$J$6:$J$13,$Q7)="",INDEX('합격 기준 수치표'!$K$6:$K$13,$Q7)=""),"-",IF(K7="","N/A",IF(OR(AND(INDEX('합격 기준 수치표'!$J$6:$J$13,$Q7)&lt;&gt;"",K7&lt;INDEX('합격 기준 수치표'!$J$6:$J$13,$Q7)),AND(INDEX('합격 기준 수치표'!$K$6:$K$13,$Q7)&lt;&gt;"",K7&gt;INDEX('합격 기준 수치표'!$K$6:$K$13,$Q7))),"X","OK")))))</f>
        <v>OK</v>
      </c>
      <c r="W7" s="23" t="str">
        <f aca="false">IF($A7="","",IF($Q7=0,"?",IF(AND(INDEX('합격 기준 수치표'!$L$6:$L$13,$Q7)="",INDEX('합격 기준 수치표'!$M$6:$M$13,$Q7)=""),"-",IF(L7="","N/A",IF(OR(AND(INDEX('합격 기준 수치표'!$L$6:$L$13,$Q7)&lt;&gt;"",L7&lt;INDEX('합격 기준 수치표'!$L$6:$L$13,$Q7)),AND(INDEX('합격 기준 수치표'!$M$6:$M$13,$Q7)&lt;&gt;"",L7&gt;INDEX('합격 기준 수치표'!$M$6:$M$13,$Q7))),"X","OK")))))</f>
        <v>-</v>
      </c>
      <c r="X7" s="23" t="str">
        <f aca="false">IF($A7="","",IF($Q7=0,"?",IF(AND(INDEX('합격 기준 수치표'!$N$6:$N$13,$Q7)="",INDEX('합격 기준 수치표'!$O$6:$O$13,$Q7)=""),"-",IF(M7="","N/A",IF(OR(AND(INDEX('합격 기준 수치표'!$N$6:$N$13,$Q7)&lt;&gt;"",M7&lt;INDEX('합격 기준 수치표'!$N$6:$N$13,$Q7)),AND(INDEX('합격 기준 수치표'!$O$6:$O$13,$Q7)&lt;&gt;"",M7&gt;INDEX('합격 기준 수치표'!$O$6:$O$13,$Q7))),"X","OK")))))</f>
        <v>-</v>
      </c>
      <c r="Y7" s="23" t="str">
        <f aca="false">IF($A7="","",IF($Q7=0,"?",IF(AND(INDEX('합격 기준 수치표'!$P$6:$P$13,$Q7)="",INDEX('합격 기준 수치표'!$Q$6:$Q$13,$Q7)=""),"-",IF(N7="","N/A",IF(OR(AND(INDEX('합격 기준 수치표'!$P$6:$P$13,$Q7)&lt;&gt;"",N7&lt;INDEX('합격 기준 수치표'!$P$6:$P$13,$Q7)),AND(INDEX('합격 기준 수치표'!$Q$6:$Q$13,$Q7)&lt;&gt;"",N7&gt;INDEX('합격 기준 수치표'!$Q$6:$Q$13,$Q7))),"X","OK")))))</f>
        <v>OK</v>
      </c>
      <c r="Z7" s="48" t="n">
        <f aca="false">IF($A7="","",COUNTIF($S7:$Y7,"X")+IF($R7="X",1,0))</f>
        <v>0</v>
      </c>
      <c r="AA7" s="21" t="str">
        <f aca="false">IF($A7="","",IF($Q7=0,"자세명 확인",IF($Z7=0,"PASS","FAIL")))</f>
        <v>PASS</v>
      </c>
    </row>
    <row r="8" customFormat="false" ht="15" hidden="false" customHeight="false" outlineLevel="0" collapsed="false">
      <c r="A8" s="43" t="s">
        <v>386</v>
      </c>
      <c r="B8" s="43" t="s">
        <v>210</v>
      </c>
      <c r="C8" s="43" t="s">
        <v>44</v>
      </c>
      <c r="D8" s="44" t="n">
        <v>1</v>
      </c>
      <c r="E8" s="44" t="n">
        <v>1245</v>
      </c>
      <c r="F8" s="44" t="n">
        <v>20</v>
      </c>
      <c r="G8" s="44" t="n">
        <v>62.3</v>
      </c>
      <c r="H8" s="45" t="n">
        <v>9694</v>
      </c>
      <c r="I8" s="45" t="n">
        <v>1890</v>
      </c>
      <c r="J8" s="46" t="n">
        <v>51.7</v>
      </c>
      <c r="K8" s="46" t="n">
        <v>68.9</v>
      </c>
      <c r="L8" s="46" t="n">
        <v>90.1</v>
      </c>
      <c r="M8" s="46" t="n">
        <v>0.7</v>
      </c>
      <c r="N8" s="44" t="n">
        <v>12</v>
      </c>
      <c r="O8" s="46" t="n">
        <v>16.4</v>
      </c>
      <c r="P8" s="47" t="n">
        <v>0</v>
      </c>
      <c r="Q8" s="23" t="n">
        <f aca="false">IF($A8="","",IFERROR(MATCH($C8,'합격 기준 수치표'!$B$6:$B$13,0),0))</f>
        <v>6</v>
      </c>
      <c r="R8" s="23" t="str">
        <f aca="false">IF($A8="","",IF(AND(E8&gt;='합격 기준 수치표'!$D$17,F8&gt;='합격 기준 수치표'!$D$18,F8&lt;='합격 기준 수치표'!$D$19,G8&gt;='합격 기준 수치표'!$D$20,G8&lt;='합격 기준 수치표'!$D$21,P8&lt;='합격 기준 수치표'!$D$23,OR(H8&lt;='합격 기준 수치표'!$D$24,O8="",O8&lt;='합격 기준 수치표'!$D$22)),"OK","X"))</f>
        <v>X</v>
      </c>
      <c r="S8" s="23" t="str">
        <f aca="false">IF($A8="","",IF($Q8=0,"?",IF(AND(INDEX('합격 기준 수치표'!$D$6:$D$13,$Q8)="",INDEX('합격 기준 수치표'!$E$6:$E$13,$Q8)=""),"-",IF(H8="","N/A",IF(OR(AND(INDEX('합격 기준 수치표'!$D$6:$D$13,$Q8)&lt;&gt;"",H8&lt;INDEX('합격 기준 수치표'!$D$6:$D$13,$Q8)),AND(INDEX('합격 기준 수치표'!$E$6:$E$13,$Q8)&lt;&gt;"",H8&gt;INDEX('합격 기준 수치표'!$E$6:$E$13,$Q8))),"X","OK")))))</f>
        <v>OK</v>
      </c>
      <c r="T8" s="23" t="str">
        <f aca="false">IF($A8="","",IF($Q8=0,"?",IF(AND(INDEX('합격 기준 수치표'!$F$6:$F$13,$Q8)="",INDEX('합격 기준 수치표'!$G$6:$G$13,$Q8)=""),"-",IF(I8="","N/A",IF(OR(AND(INDEX('합격 기준 수치표'!$F$6:$F$13,$Q8)&lt;&gt;"",I8&lt;INDEX('합격 기준 수치표'!$F$6:$F$13,$Q8)),AND(INDEX('합격 기준 수치표'!$G$6:$G$13,$Q8)&lt;&gt;"",I8&gt;INDEX('합격 기준 수치표'!$G$6:$G$13,$Q8))),"X","OK")))))</f>
        <v>OK</v>
      </c>
      <c r="U8" s="23" t="str">
        <f aca="false">IF($A8="","",IF($Q8=0,"?",IF(AND(INDEX('합격 기준 수치표'!$H$6:$H$13,$Q8)="",INDEX('합격 기준 수치표'!$I$6:$I$13,$Q8)=""),"-",IF(J8="","N/A",IF(OR(AND(INDEX('합격 기준 수치표'!$H$6:$H$13,$Q8)&lt;&gt;"",J8&lt;INDEX('합격 기준 수치표'!$H$6:$H$13,$Q8)),AND(INDEX('합격 기준 수치표'!$I$6:$I$13,$Q8)&lt;&gt;"",J8&gt;INDEX('합격 기준 수치표'!$I$6:$I$13,$Q8))),"X","OK")))))</f>
        <v>-</v>
      </c>
      <c r="V8" s="23" t="str">
        <f aca="false">IF($A8="","",IF($Q8=0,"?",IF(AND(INDEX('합격 기준 수치표'!$J$6:$J$13,$Q8)="",INDEX('합격 기준 수치표'!$K$6:$K$13,$Q8)=""),"-",IF(K8="","N/A",IF(OR(AND(INDEX('합격 기준 수치표'!$J$6:$J$13,$Q8)&lt;&gt;"",K8&lt;INDEX('합격 기준 수치표'!$J$6:$J$13,$Q8)),AND(INDEX('합격 기준 수치표'!$K$6:$K$13,$Q8)&lt;&gt;"",K8&gt;INDEX('합격 기준 수치표'!$K$6:$K$13,$Q8))),"X","OK")))))</f>
        <v>OK</v>
      </c>
      <c r="W8" s="23" t="str">
        <f aca="false">IF($A8="","",IF($Q8=0,"?",IF(AND(INDEX('합격 기준 수치표'!$L$6:$L$13,$Q8)="",INDEX('합격 기준 수치표'!$M$6:$M$13,$Q8)=""),"-",IF(L8="","N/A",IF(OR(AND(INDEX('합격 기준 수치표'!$L$6:$L$13,$Q8)&lt;&gt;"",L8&lt;INDEX('합격 기준 수치표'!$L$6:$L$13,$Q8)),AND(INDEX('합격 기준 수치표'!$M$6:$M$13,$Q8)&lt;&gt;"",L8&gt;INDEX('합격 기준 수치표'!$M$6:$M$13,$Q8))),"X","OK")))))</f>
        <v>OK</v>
      </c>
      <c r="X8" s="23" t="str">
        <f aca="false">IF($A8="","",IF($Q8=0,"?",IF(AND(INDEX('합격 기준 수치표'!$N$6:$N$13,$Q8)="",INDEX('합격 기준 수치표'!$O$6:$O$13,$Q8)=""),"-",IF(M8="","N/A",IF(OR(AND(INDEX('합격 기준 수치표'!$N$6:$N$13,$Q8)&lt;&gt;"",M8&lt;INDEX('합격 기준 수치표'!$N$6:$N$13,$Q8)),AND(INDEX('합격 기준 수치표'!$O$6:$O$13,$Q8)&lt;&gt;"",M8&gt;INDEX('합격 기준 수치표'!$O$6:$O$13,$Q8))),"X","OK")))))</f>
        <v>-</v>
      </c>
      <c r="Y8" s="23" t="str">
        <f aca="false">IF($A8="","",IF($Q8=0,"?",IF(AND(INDEX('합격 기준 수치표'!$P$6:$P$13,$Q8)="",INDEX('합격 기준 수치표'!$Q$6:$Q$13,$Q8)=""),"-",IF(N8="","N/A",IF(OR(AND(INDEX('합격 기준 수치표'!$P$6:$P$13,$Q8)&lt;&gt;"",N8&lt;INDEX('합격 기준 수치표'!$P$6:$P$13,$Q8)),AND(INDEX('합격 기준 수치표'!$Q$6:$Q$13,$Q8)&lt;&gt;"",N8&gt;INDEX('합격 기준 수치표'!$Q$6:$Q$13,$Q8))),"X","OK")))))</f>
        <v>OK</v>
      </c>
      <c r="Z8" s="48" t="n">
        <f aca="false">IF($A8="","",COUNTIF($S8:$Y8,"X")+IF($R8="X",1,0))</f>
        <v>1</v>
      </c>
      <c r="AA8" s="21" t="str">
        <f aca="false">IF($A8="","",IF($Q8=0,"자세명 확인",IF($Z8=0,"PASS","FAIL")))</f>
        <v>FAIL</v>
      </c>
    </row>
    <row r="9" customFormat="false" ht="15" hidden="false" customHeight="false" outlineLevel="0" collapsed="false">
      <c r="A9" s="43" t="s">
        <v>387</v>
      </c>
      <c r="B9" s="43" t="s">
        <v>210</v>
      </c>
      <c r="C9" s="43" t="s">
        <v>25</v>
      </c>
      <c r="D9" s="44" t="n">
        <v>2</v>
      </c>
      <c r="E9" s="44" t="n">
        <v>1245</v>
      </c>
      <c r="F9" s="44" t="n">
        <v>20</v>
      </c>
      <c r="G9" s="44" t="n">
        <v>62.3</v>
      </c>
      <c r="H9" s="45" t="n">
        <v>12273</v>
      </c>
      <c r="I9" s="45" t="n">
        <v>4050</v>
      </c>
      <c r="J9" s="46" t="n">
        <v>51.3</v>
      </c>
      <c r="K9" s="46" t="n">
        <v>49.2</v>
      </c>
      <c r="L9" s="46" t="n">
        <v>44.7</v>
      </c>
      <c r="M9" s="46" t="n">
        <v>0</v>
      </c>
      <c r="N9" s="44" t="n">
        <v>15</v>
      </c>
      <c r="O9" s="46" t="n">
        <v>0.7</v>
      </c>
      <c r="P9" s="47" t="n">
        <v>0</v>
      </c>
      <c r="Q9" s="23" t="n">
        <f aca="false">IF($A9="","",IFERROR(MATCH($C9,'합격 기준 수치표'!$B$6:$B$13,0),0))</f>
        <v>2</v>
      </c>
      <c r="R9" s="23" t="str">
        <f aca="false">IF($A9="","",IF(AND(E9&gt;='합격 기준 수치표'!$D$17,F9&gt;='합격 기준 수치표'!$D$18,F9&lt;='합격 기준 수치표'!$D$19,G9&gt;='합격 기준 수치표'!$D$20,G9&lt;='합격 기준 수치표'!$D$21,P9&lt;='합격 기준 수치표'!$D$23,OR(H9&lt;='합격 기준 수치표'!$D$24,O9="",O9&lt;='합격 기준 수치표'!$D$22)),"OK","X"))</f>
        <v>OK</v>
      </c>
      <c r="S9" s="23" t="str">
        <f aca="false">IF($A9="","",IF($Q9=0,"?",IF(AND(INDEX('합격 기준 수치표'!$D$6:$D$13,$Q9)="",INDEX('합격 기준 수치표'!$E$6:$E$13,$Q9)=""),"-",IF(H9="","N/A",IF(OR(AND(INDEX('합격 기준 수치표'!$D$6:$D$13,$Q9)&lt;&gt;"",H9&lt;INDEX('합격 기준 수치표'!$D$6:$D$13,$Q9)),AND(INDEX('합격 기준 수치표'!$E$6:$E$13,$Q9)&lt;&gt;"",H9&gt;INDEX('합격 기준 수치표'!$E$6:$E$13,$Q9))),"X","OK")))))</f>
        <v>OK</v>
      </c>
      <c r="T9" s="23" t="str">
        <f aca="false">IF($A9="","",IF($Q9=0,"?",IF(AND(INDEX('합격 기준 수치표'!$F$6:$F$13,$Q9)="",INDEX('합격 기준 수치표'!$G$6:$G$13,$Q9)=""),"-",IF(I9="","N/A",IF(OR(AND(INDEX('합격 기준 수치표'!$F$6:$F$13,$Q9)&lt;&gt;"",I9&lt;INDEX('합격 기준 수치표'!$F$6:$F$13,$Q9)),AND(INDEX('합격 기준 수치표'!$G$6:$G$13,$Q9)&lt;&gt;"",I9&gt;INDEX('합격 기준 수치표'!$G$6:$G$13,$Q9))),"X","OK")))))</f>
        <v>OK</v>
      </c>
      <c r="U9" s="23" t="str">
        <f aca="false">IF($A9="","",IF($Q9=0,"?",IF(AND(INDEX('합격 기준 수치표'!$H$6:$H$13,$Q9)="",INDEX('합격 기준 수치표'!$I$6:$I$13,$Q9)=""),"-",IF(J9="","N/A",IF(OR(AND(INDEX('합격 기준 수치표'!$H$6:$H$13,$Q9)&lt;&gt;"",J9&lt;INDEX('합격 기준 수치표'!$H$6:$H$13,$Q9)),AND(INDEX('합격 기준 수치표'!$I$6:$I$13,$Q9)&lt;&gt;"",J9&gt;INDEX('합격 기준 수치표'!$I$6:$I$13,$Q9))),"X","OK")))))</f>
        <v>-</v>
      </c>
      <c r="V9" s="23" t="str">
        <f aca="false">IF($A9="","",IF($Q9=0,"?",IF(AND(INDEX('합격 기준 수치표'!$J$6:$J$13,$Q9)="",INDEX('합격 기준 수치표'!$K$6:$K$13,$Q9)=""),"-",IF(K9="","N/A",IF(OR(AND(INDEX('합격 기준 수치표'!$J$6:$J$13,$Q9)&lt;&gt;"",K9&lt;INDEX('합격 기준 수치표'!$J$6:$J$13,$Q9)),AND(INDEX('합격 기준 수치표'!$K$6:$K$13,$Q9)&lt;&gt;"",K9&gt;INDEX('합격 기준 수치표'!$K$6:$K$13,$Q9))),"X","OK")))))</f>
        <v>OK</v>
      </c>
      <c r="W9" s="23" t="str">
        <f aca="false">IF($A9="","",IF($Q9=0,"?",IF(AND(INDEX('합격 기준 수치표'!$L$6:$L$13,$Q9)="",INDEX('합격 기준 수치표'!$M$6:$M$13,$Q9)=""),"-",IF(L9="","N/A",IF(OR(AND(INDEX('합격 기준 수치표'!$L$6:$L$13,$Q9)&lt;&gt;"",L9&lt;INDEX('합격 기준 수치표'!$L$6:$L$13,$Q9)),AND(INDEX('합격 기준 수치표'!$M$6:$M$13,$Q9)&lt;&gt;"",L9&gt;INDEX('합격 기준 수치표'!$M$6:$M$13,$Q9))),"X","OK")))))</f>
        <v>-</v>
      </c>
      <c r="X9" s="23" t="str">
        <f aca="false">IF($A9="","",IF($Q9=0,"?",IF(AND(INDEX('합격 기준 수치표'!$N$6:$N$13,$Q9)="",INDEX('합격 기준 수치표'!$O$6:$O$13,$Q9)=""),"-",IF(M9="","N/A",IF(OR(AND(INDEX('합격 기준 수치표'!$N$6:$N$13,$Q9)&lt;&gt;"",M9&lt;INDEX('합격 기준 수치표'!$N$6:$N$13,$Q9)),AND(INDEX('합격 기준 수치표'!$O$6:$O$13,$Q9)&lt;&gt;"",M9&gt;INDEX('합격 기준 수치표'!$O$6:$O$13,$Q9))),"X","OK")))))</f>
        <v>-</v>
      </c>
      <c r="Y9" s="23" t="str">
        <f aca="false">IF($A9="","",IF($Q9=0,"?",IF(AND(INDEX('합격 기준 수치표'!$P$6:$P$13,$Q9)="",INDEX('합격 기준 수치표'!$Q$6:$Q$13,$Q9)=""),"-",IF(N9="","N/A",IF(OR(AND(INDEX('합격 기준 수치표'!$P$6:$P$13,$Q9)&lt;&gt;"",N9&lt;INDEX('합격 기준 수치표'!$P$6:$P$13,$Q9)),AND(INDEX('합격 기준 수치표'!$Q$6:$Q$13,$Q9)&lt;&gt;"",N9&gt;INDEX('합격 기준 수치표'!$Q$6:$Q$13,$Q9))),"X","OK")))))</f>
        <v>OK</v>
      </c>
      <c r="Z9" s="48" t="n">
        <f aca="false">IF($A9="","",COUNTIF($S9:$Y9,"X")+IF($R9="X",1,0))</f>
        <v>0</v>
      </c>
      <c r="AA9" s="21" t="str">
        <f aca="false">IF($A9="","",IF($Q9=0,"자세명 확인",IF($Z9=0,"PASS","FAIL")))</f>
        <v>PASS</v>
      </c>
    </row>
    <row r="10" customFormat="false" ht="15" hidden="false" customHeight="false" outlineLevel="0" collapsed="false">
      <c r="A10" s="43" t="s">
        <v>388</v>
      </c>
      <c r="B10" s="43" t="s">
        <v>210</v>
      </c>
      <c r="C10" s="43" t="s">
        <v>54</v>
      </c>
      <c r="D10" s="44" t="n">
        <v>1</v>
      </c>
      <c r="E10" s="44" t="n">
        <v>1245</v>
      </c>
      <c r="F10" s="44" t="n">
        <v>20</v>
      </c>
      <c r="G10" s="44" t="n">
        <v>62.3</v>
      </c>
      <c r="H10" s="45" t="n">
        <v>11724</v>
      </c>
      <c r="I10" s="45" t="n">
        <v>236</v>
      </c>
      <c r="J10" s="46" t="n">
        <v>51.6</v>
      </c>
      <c r="K10" s="46" t="n">
        <v>52.4</v>
      </c>
      <c r="L10" s="46" t="n">
        <v>59.2</v>
      </c>
      <c r="M10" s="46" t="n">
        <v>0</v>
      </c>
      <c r="N10" s="44" t="n">
        <v>2</v>
      </c>
      <c r="O10" s="46" t="n">
        <v>17.6</v>
      </c>
      <c r="P10" s="47" t="n">
        <v>0</v>
      </c>
      <c r="Q10" s="23" t="n">
        <f aca="false">IF($A10="","",IFERROR(MATCH($C10,'합격 기준 수치표'!$B$6:$B$13,0),0))</f>
        <v>8</v>
      </c>
      <c r="R10" s="23" t="str">
        <f aca="false">IF($A10="","",IF(AND(E10&gt;='합격 기준 수치표'!$D$17,F10&gt;='합격 기준 수치표'!$D$18,F10&lt;='합격 기준 수치표'!$D$19,G10&gt;='합격 기준 수치표'!$D$20,G10&lt;='합격 기준 수치표'!$D$21,P10&lt;='합격 기준 수치표'!$D$23,OR(H10&lt;='합격 기준 수치표'!$D$24,O10="",O10&lt;='합격 기준 수치표'!$D$22)),"OK","X"))</f>
        <v>X</v>
      </c>
      <c r="S10" s="23" t="str">
        <f aca="false">IF($A10="","",IF($Q10=0,"?",IF(AND(INDEX('합격 기준 수치표'!$D$6:$D$13,$Q10)="",INDEX('합격 기준 수치표'!$E$6:$E$13,$Q10)=""),"-",IF(H10="","N/A",IF(OR(AND(INDEX('합격 기준 수치표'!$D$6:$D$13,$Q10)&lt;&gt;"",H10&lt;INDEX('합격 기준 수치표'!$D$6:$D$13,$Q10)),AND(INDEX('합격 기준 수치표'!$E$6:$E$13,$Q10)&lt;&gt;"",H10&gt;INDEX('합격 기준 수치표'!$E$6:$E$13,$Q10))),"X","OK")))))</f>
        <v>OK</v>
      </c>
      <c r="T10" s="23" t="str">
        <f aca="false">IF($A10="","",IF($Q10=0,"?",IF(AND(INDEX('합격 기준 수치표'!$F$6:$F$13,$Q10)="",INDEX('합격 기준 수치표'!$G$6:$G$13,$Q10)=""),"-",IF(I10="","N/A",IF(OR(AND(INDEX('합격 기준 수치표'!$F$6:$F$13,$Q10)&lt;&gt;"",I10&lt;INDEX('합격 기준 수치표'!$F$6:$F$13,$Q10)),AND(INDEX('합격 기준 수치표'!$G$6:$G$13,$Q10)&lt;&gt;"",I10&gt;INDEX('합격 기준 수치표'!$G$6:$G$13,$Q10))),"X","OK")))))</f>
        <v>X</v>
      </c>
      <c r="U10" s="23" t="str">
        <f aca="false">IF($A10="","",IF($Q10=0,"?",IF(AND(INDEX('합격 기준 수치표'!$H$6:$H$13,$Q10)="",INDEX('합격 기준 수치표'!$I$6:$I$13,$Q10)=""),"-",IF(J10="","N/A",IF(OR(AND(INDEX('합격 기준 수치표'!$H$6:$H$13,$Q10)&lt;&gt;"",J10&lt;INDEX('합격 기준 수치표'!$H$6:$H$13,$Q10)),AND(INDEX('합격 기준 수치표'!$I$6:$I$13,$Q10)&lt;&gt;"",J10&gt;INDEX('합격 기준 수치표'!$I$6:$I$13,$Q10))),"X","OK")))))</f>
        <v>-</v>
      </c>
      <c r="V10" s="23" t="str">
        <f aca="false">IF($A10="","",IF($Q10=0,"?",IF(AND(INDEX('합격 기준 수치표'!$J$6:$J$13,$Q10)="",INDEX('합격 기준 수치표'!$K$6:$K$13,$Q10)=""),"-",IF(K10="","N/A",IF(OR(AND(INDEX('합격 기준 수치표'!$J$6:$J$13,$Q10)&lt;&gt;"",K10&lt;INDEX('합격 기준 수치표'!$J$6:$J$13,$Q10)),AND(INDEX('합격 기준 수치표'!$K$6:$K$13,$Q10)&lt;&gt;"",K10&gt;INDEX('합격 기준 수치표'!$K$6:$K$13,$Q10))),"X","OK")))))</f>
        <v>OK</v>
      </c>
      <c r="W10" s="23" t="str">
        <f aca="false">IF($A10="","",IF($Q10=0,"?",IF(AND(INDEX('합격 기준 수치표'!$L$6:$L$13,$Q10)="",INDEX('합격 기준 수치표'!$M$6:$M$13,$Q10)=""),"-",IF(L10="","N/A",IF(OR(AND(INDEX('합격 기준 수치표'!$L$6:$L$13,$Q10)&lt;&gt;"",L10&lt;INDEX('합격 기준 수치표'!$L$6:$L$13,$Q10)),AND(INDEX('합격 기준 수치표'!$M$6:$M$13,$Q10)&lt;&gt;"",L10&gt;INDEX('합격 기준 수치표'!$M$6:$M$13,$Q10))),"X","OK")))))</f>
        <v>-</v>
      </c>
      <c r="X10" s="23" t="str">
        <f aca="false">IF($A10="","",IF($Q10=0,"?",IF(AND(INDEX('합격 기준 수치표'!$N$6:$N$13,$Q10)="",INDEX('합격 기준 수치표'!$O$6:$O$13,$Q10)=""),"-",IF(M10="","N/A",IF(OR(AND(INDEX('합격 기준 수치표'!$N$6:$N$13,$Q10)&lt;&gt;"",M10&lt;INDEX('합격 기준 수치표'!$N$6:$N$13,$Q10)),AND(INDEX('합격 기준 수치표'!$O$6:$O$13,$Q10)&lt;&gt;"",M10&gt;INDEX('합격 기준 수치표'!$O$6:$O$13,$Q10))),"X","OK")))))</f>
        <v>OK</v>
      </c>
      <c r="Y10" s="23" t="str">
        <f aca="false">IF($A10="","",IF($Q10=0,"?",IF(AND(INDEX('합격 기준 수치표'!$P$6:$P$13,$Q10)="",INDEX('합격 기준 수치표'!$Q$6:$Q$13,$Q10)=""),"-",IF(N10="","N/A",IF(OR(AND(INDEX('합격 기준 수치표'!$P$6:$P$13,$Q10)&lt;&gt;"",N10&lt;INDEX('합격 기준 수치표'!$P$6:$P$13,$Q10)),AND(INDEX('합격 기준 수치표'!$Q$6:$Q$13,$Q10)&lt;&gt;"",N10&gt;INDEX('합격 기준 수치표'!$Q$6:$Q$13,$Q10))),"X","OK")))))</f>
        <v>X</v>
      </c>
      <c r="Z10" s="48" t="n">
        <f aca="false">IF($A10="","",COUNTIF($S10:$Y10,"X")+IF($R10="X",1,0))</f>
        <v>3</v>
      </c>
      <c r="AA10" s="21" t="str">
        <f aca="false">IF($A10="","",IF($Q10=0,"자세명 확인",IF($Z10=0,"PASS","FAIL")))</f>
        <v>FAIL</v>
      </c>
    </row>
    <row r="11" customFormat="false" ht="15" hidden="false" customHeight="false" outlineLevel="0" collapsed="false">
      <c r="A11" s="43" t="s">
        <v>389</v>
      </c>
      <c r="B11" s="43" t="s">
        <v>206</v>
      </c>
      <c r="C11" s="43" t="s">
        <v>40</v>
      </c>
      <c r="D11" s="44" t="n">
        <v>3</v>
      </c>
      <c r="E11" s="44" t="n">
        <v>1244</v>
      </c>
      <c r="F11" s="44" t="n">
        <v>20</v>
      </c>
      <c r="G11" s="44" t="n">
        <v>62.2</v>
      </c>
      <c r="H11" s="45" t="n">
        <v>12104</v>
      </c>
      <c r="I11" s="45" t="n">
        <v>2820</v>
      </c>
      <c r="J11" s="46" t="n">
        <v>47.3</v>
      </c>
      <c r="K11" s="46" t="n">
        <v>66.7</v>
      </c>
      <c r="L11" s="46" t="n">
        <v>44.6</v>
      </c>
      <c r="M11" s="46" t="n">
        <v>36.3</v>
      </c>
      <c r="N11" s="44" t="n">
        <v>14</v>
      </c>
      <c r="O11" s="46" t="n">
        <v>2.3</v>
      </c>
      <c r="P11" s="47" t="n">
        <v>0</v>
      </c>
      <c r="Q11" s="23" t="n">
        <f aca="false">IF($A11="","",IFERROR(MATCH($C11,'합격 기준 수치표'!$B$6:$B$13,0),0))</f>
        <v>5</v>
      </c>
      <c r="R11" s="23" t="str">
        <f aca="false">IF($A11="","",IF(AND(E11&gt;='합격 기준 수치표'!$D$17,F11&gt;='합격 기준 수치표'!$D$18,F11&lt;='합격 기준 수치표'!$D$19,G11&gt;='합격 기준 수치표'!$D$20,G11&lt;='합격 기준 수치표'!$D$21,P11&lt;='합격 기준 수치표'!$D$23,OR(H11&lt;='합격 기준 수치표'!$D$24,O11="",O11&lt;='합격 기준 수치표'!$D$22)),"OK","X"))</f>
        <v>OK</v>
      </c>
      <c r="S11" s="23" t="str">
        <f aca="false">IF($A11="","",IF($Q11=0,"?",IF(AND(INDEX('합격 기준 수치표'!$D$6:$D$13,$Q11)="",INDEX('합격 기준 수치표'!$E$6:$E$13,$Q11)=""),"-",IF(H11="","N/A",IF(OR(AND(INDEX('합격 기준 수치표'!$D$6:$D$13,$Q11)&lt;&gt;"",H11&lt;INDEX('합격 기준 수치표'!$D$6:$D$13,$Q11)),AND(INDEX('합격 기준 수치표'!$E$6:$E$13,$Q11)&lt;&gt;"",H11&gt;INDEX('합격 기준 수치표'!$E$6:$E$13,$Q11))),"X","OK")))))</f>
        <v>OK</v>
      </c>
      <c r="T11" s="23" t="str">
        <f aca="false">IF($A11="","",IF($Q11=0,"?",IF(AND(INDEX('합격 기준 수치표'!$F$6:$F$13,$Q11)="",INDEX('합격 기준 수치표'!$G$6:$G$13,$Q11)=""),"-",IF(I11="","N/A",IF(OR(AND(INDEX('합격 기준 수치표'!$F$6:$F$13,$Q11)&lt;&gt;"",I11&lt;INDEX('합격 기준 수치표'!$F$6:$F$13,$Q11)),AND(INDEX('합격 기준 수치표'!$G$6:$G$13,$Q11)&lt;&gt;"",I11&gt;INDEX('합격 기준 수치표'!$G$6:$G$13,$Q11))),"X","OK")))))</f>
        <v>OK</v>
      </c>
      <c r="U11" s="23" t="str">
        <f aca="false">IF($A11="","",IF($Q11=0,"?",IF(AND(INDEX('합격 기준 수치표'!$H$6:$H$13,$Q11)="",INDEX('합격 기준 수치표'!$I$6:$I$13,$Q11)=""),"-",IF(J11="","N/A",IF(OR(AND(INDEX('합격 기준 수치표'!$H$6:$H$13,$Q11)&lt;&gt;"",J11&lt;INDEX('합격 기준 수치표'!$H$6:$H$13,$Q11)),AND(INDEX('합격 기준 수치표'!$I$6:$I$13,$Q11)&lt;&gt;"",J11&gt;INDEX('합격 기준 수치표'!$I$6:$I$13,$Q11))),"X","OK")))))</f>
        <v>-</v>
      </c>
      <c r="V11" s="23" t="str">
        <f aca="false">IF($A11="","",IF($Q11=0,"?",IF(AND(INDEX('합격 기준 수치표'!$J$6:$J$13,$Q11)="",INDEX('합격 기준 수치표'!$K$6:$K$13,$Q11)=""),"-",IF(K11="","N/A",IF(OR(AND(INDEX('합격 기준 수치표'!$J$6:$J$13,$Q11)&lt;&gt;"",K11&lt;INDEX('합격 기준 수치표'!$J$6:$J$13,$Q11)),AND(INDEX('합격 기준 수치표'!$K$6:$K$13,$Q11)&lt;&gt;"",K11&gt;INDEX('합격 기준 수치표'!$K$6:$K$13,$Q11))),"X","OK")))))</f>
        <v>OK</v>
      </c>
      <c r="W11" s="23" t="str">
        <f aca="false">IF($A11="","",IF($Q11=0,"?",IF(AND(INDEX('합격 기준 수치표'!$L$6:$L$13,$Q11)="",INDEX('합격 기준 수치표'!$M$6:$M$13,$Q11)=""),"-",IF(L11="","N/A",IF(OR(AND(INDEX('합격 기준 수치표'!$L$6:$L$13,$Q11)&lt;&gt;"",L11&lt;INDEX('합격 기준 수치표'!$L$6:$L$13,$Q11)),AND(INDEX('합격 기준 수치표'!$M$6:$M$13,$Q11)&lt;&gt;"",L11&gt;INDEX('합격 기준 수치표'!$M$6:$M$13,$Q11))),"X","OK")))))</f>
        <v>-</v>
      </c>
      <c r="X11" s="23" t="str">
        <f aca="false">IF($A11="","",IF($Q11=0,"?",IF(AND(INDEX('합격 기준 수치표'!$N$6:$N$13,$Q11)="",INDEX('합격 기준 수치표'!$O$6:$O$13,$Q11)=""),"-",IF(M11="","N/A",IF(OR(AND(INDEX('합격 기준 수치표'!$N$6:$N$13,$Q11)&lt;&gt;"",M11&lt;INDEX('합격 기준 수치표'!$N$6:$N$13,$Q11)),AND(INDEX('합격 기준 수치표'!$O$6:$O$13,$Q11)&lt;&gt;"",M11&gt;INDEX('합격 기준 수치표'!$O$6:$O$13,$Q11))),"X","OK")))))</f>
        <v>-</v>
      </c>
      <c r="Y11" s="23" t="str">
        <f aca="false">IF($A11="","",IF($Q11=0,"?",IF(AND(INDEX('합격 기준 수치표'!$P$6:$P$13,$Q11)="",INDEX('합격 기준 수치표'!$Q$6:$Q$13,$Q11)=""),"-",IF(N11="","N/A",IF(OR(AND(INDEX('합격 기준 수치표'!$P$6:$P$13,$Q11)&lt;&gt;"",N11&lt;INDEX('합격 기준 수치표'!$P$6:$P$13,$Q11)),AND(INDEX('합격 기준 수치표'!$Q$6:$Q$13,$Q11)&lt;&gt;"",N11&gt;INDEX('합격 기준 수치표'!$Q$6:$Q$13,$Q11))),"X","OK")))))</f>
        <v>OK</v>
      </c>
      <c r="Z11" s="48" t="n">
        <f aca="false">IF($A11="","",COUNTIF($S11:$Y11,"X")+IF($R11="X",1,0))</f>
        <v>0</v>
      </c>
      <c r="AA11" s="21" t="str">
        <f aca="false">IF($A11="","",IF($Q11=0,"자세명 확인",IF($Z11=0,"PASS","FAIL")))</f>
        <v>PASS</v>
      </c>
    </row>
    <row r="12" customFormat="false" ht="15" hidden="false" customHeight="false" outlineLevel="0" collapsed="false">
      <c r="A12" s="43" t="s">
        <v>390</v>
      </c>
      <c r="B12" s="43" t="s">
        <v>206</v>
      </c>
      <c r="C12" s="43" t="s">
        <v>35</v>
      </c>
      <c r="D12" s="44" t="n">
        <v>1</v>
      </c>
      <c r="E12" s="44" t="n">
        <v>1245</v>
      </c>
      <c r="F12" s="44" t="n">
        <v>20</v>
      </c>
      <c r="G12" s="44" t="n">
        <v>62.3</v>
      </c>
      <c r="H12" s="45" t="n">
        <v>10400</v>
      </c>
      <c r="I12" s="45" t="n">
        <v>1855</v>
      </c>
      <c r="J12" s="46" t="n">
        <v>47.1</v>
      </c>
      <c r="K12" s="46" t="n">
        <v>36.2</v>
      </c>
      <c r="L12" s="46" t="n">
        <v>23.6</v>
      </c>
      <c r="M12" s="46" t="n">
        <v>46.4</v>
      </c>
      <c r="N12" s="44" t="n">
        <v>11</v>
      </c>
      <c r="O12" s="46" t="n">
        <v>3.6</v>
      </c>
      <c r="P12" s="47" t="n">
        <v>0</v>
      </c>
      <c r="Q12" s="23" t="n">
        <f aca="false">IF($A12="","",IFERROR(MATCH($C12,'합격 기준 수치표'!$B$6:$B$13,0),0))</f>
        <v>4</v>
      </c>
      <c r="R12" s="23" t="str">
        <f aca="false">IF($A12="","",IF(AND(E12&gt;='합격 기준 수치표'!$D$17,F12&gt;='합격 기준 수치표'!$D$18,F12&lt;='합격 기준 수치표'!$D$19,G12&gt;='합격 기준 수치표'!$D$20,G12&lt;='합격 기준 수치표'!$D$21,P12&lt;='합격 기준 수치표'!$D$23,OR(H12&lt;='합격 기준 수치표'!$D$24,O12="",O12&lt;='합격 기준 수치표'!$D$22)),"OK","X"))</f>
        <v>OK</v>
      </c>
      <c r="S12" s="23" t="str">
        <f aca="false">IF($A12="","",IF($Q12=0,"?",IF(AND(INDEX('합격 기준 수치표'!$D$6:$D$13,$Q12)="",INDEX('합격 기준 수치표'!$E$6:$E$13,$Q12)=""),"-",IF(H12="","N/A",IF(OR(AND(INDEX('합격 기준 수치표'!$D$6:$D$13,$Q12)&lt;&gt;"",H12&lt;INDEX('합격 기준 수치표'!$D$6:$D$13,$Q12)),AND(INDEX('합격 기준 수치표'!$E$6:$E$13,$Q12)&lt;&gt;"",H12&gt;INDEX('합격 기준 수치표'!$E$6:$E$13,$Q12))),"X","OK")))))</f>
        <v>OK</v>
      </c>
      <c r="T12" s="23" t="str">
        <f aca="false">IF($A12="","",IF($Q12=0,"?",IF(AND(INDEX('합격 기준 수치표'!$F$6:$F$13,$Q12)="",INDEX('합격 기준 수치표'!$G$6:$G$13,$Q12)=""),"-",IF(I12="","N/A",IF(OR(AND(INDEX('합격 기준 수치표'!$F$6:$F$13,$Q12)&lt;&gt;"",I12&lt;INDEX('합격 기준 수치표'!$F$6:$F$13,$Q12)),AND(INDEX('합격 기준 수치표'!$G$6:$G$13,$Q12)&lt;&gt;"",I12&gt;INDEX('합격 기준 수치표'!$G$6:$G$13,$Q12))),"X","OK")))))</f>
        <v>OK</v>
      </c>
      <c r="U12" s="23" t="str">
        <f aca="false">IF($A12="","",IF($Q12=0,"?",IF(AND(INDEX('합격 기준 수치표'!$H$6:$H$13,$Q12)="",INDEX('합격 기준 수치표'!$I$6:$I$13,$Q12)=""),"-",IF(J12="","N/A",IF(OR(AND(INDEX('합격 기준 수치표'!$H$6:$H$13,$Q12)&lt;&gt;"",J12&lt;INDEX('합격 기준 수치표'!$H$6:$H$13,$Q12)),AND(INDEX('합격 기준 수치표'!$I$6:$I$13,$Q12)&lt;&gt;"",J12&gt;INDEX('합격 기준 수치표'!$I$6:$I$13,$Q12))),"X","OK")))))</f>
        <v>-</v>
      </c>
      <c r="V12" s="23" t="str">
        <f aca="false">IF($A12="","",IF($Q12=0,"?",IF(AND(INDEX('합격 기준 수치표'!$J$6:$J$13,$Q12)="",INDEX('합격 기준 수치표'!$K$6:$K$13,$Q12)=""),"-",IF(K12="","N/A",IF(OR(AND(INDEX('합격 기준 수치표'!$J$6:$J$13,$Q12)&lt;&gt;"",K12&lt;INDEX('합격 기준 수치표'!$J$6:$J$13,$Q12)),AND(INDEX('합격 기준 수치표'!$K$6:$K$13,$Q12)&lt;&gt;"",K12&gt;INDEX('합격 기준 수치표'!$K$6:$K$13,$Q12))),"X","OK")))))</f>
        <v>OK</v>
      </c>
      <c r="W12" s="23" t="str">
        <f aca="false">IF($A12="","",IF($Q12=0,"?",IF(AND(INDEX('합격 기준 수치표'!$L$6:$L$13,$Q12)="",INDEX('합격 기준 수치표'!$M$6:$M$13,$Q12)=""),"-",IF(L12="","N/A",IF(OR(AND(INDEX('합격 기준 수치표'!$L$6:$L$13,$Q12)&lt;&gt;"",L12&lt;INDEX('합격 기준 수치표'!$L$6:$L$13,$Q12)),AND(INDEX('합격 기준 수치표'!$M$6:$M$13,$Q12)&lt;&gt;"",L12&gt;INDEX('합격 기준 수치표'!$M$6:$M$13,$Q12))),"X","OK")))))</f>
        <v>-</v>
      </c>
      <c r="X12" s="23" t="str">
        <f aca="false">IF($A12="","",IF($Q12=0,"?",IF(AND(INDEX('합격 기준 수치표'!$N$6:$N$13,$Q12)="",INDEX('합격 기준 수치표'!$O$6:$O$13,$Q12)=""),"-",IF(M12="","N/A",IF(OR(AND(INDEX('합격 기준 수치표'!$N$6:$N$13,$Q12)&lt;&gt;"",M12&lt;INDEX('합격 기준 수치표'!$N$6:$N$13,$Q12)),AND(INDEX('합격 기준 수치표'!$O$6:$O$13,$Q12)&lt;&gt;"",M12&gt;INDEX('합격 기준 수치표'!$O$6:$O$13,$Q12))),"X","OK")))))</f>
        <v>-</v>
      </c>
      <c r="Y12" s="23" t="str">
        <f aca="false">IF($A12="","",IF($Q12=0,"?",IF(AND(INDEX('합격 기준 수치표'!$P$6:$P$13,$Q12)="",INDEX('합격 기준 수치표'!$Q$6:$Q$13,$Q12)=""),"-",IF(N12="","N/A",IF(OR(AND(INDEX('합격 기준 수치표'!$P$6:$P$13,$Q12)&lt;&gt;"",N12&lt;INDEX('합격 기준 수치표'!$P$6:$P$13,$Q12)),AND(INDEX('합격 기준 수치표'!$Q$6:$Q$13,$Q12)&lt;&gt;"",N12&gt;INDEX('합격 기준 수치표'!$Q$6:$Q$13,$Q12))),"X","OK")))))</f>
        <v>OK</v>
      </c>
      <c r="Z12" s="48" t="n">
        <f aca="false">IF($A12="","",COUNTIF($S12:$Y12,"X")+IF($R12="X",1,0))</f>
        <v>0</v>
      </c>
      <c r="AA12" s="21" t="str">
        <f aca="false">IF($A12="","",IF($Q12=0,"자세명 확인",IF($Z12=0,"PASS","FAIL")))</f>
        <v>PASS</v>
      </c>
    </row>
    <row r="13" customFormat="false" ht="15" hidden="false" customHeight="false" outlineLevel="0" collapsed="false">
      <c r="A13" s="43" t="s">
        <v>391</v>
      </c>
      <c r="B13" s="43" t="s">
        <v>206</v>
      </c>
      <c r="C13" s="43" t="s">
        <v>30</v>
      </c>
      <c r="D13" s="44" t="n">
        <v>1</v>
      </c>
      <c r="E13" s="44" t="n">
        <v>1245</v>
      </c>
      <c r="F13" s="44" t="n">
        <v>20</v>
      </c>
      <c r="G13" s="44" t="n">
        <v>62.3</v>
      </c>
      <c r="H13" s="45" t="n">
        <v>9737</v>
      </c>
      <c r="I13" s="45" t="n">
        <v>0</v>
      </c>
      <c r="J13" s="46" t="n">
        <v>29.5</v>
      </c>
      <c r="K13" s="46" t="n">
        <v>47.2</v>
      </c>
      <c r="L13" s="46"/>
      <c r="M13" s="46"/>
      <c r="N13" s="44" t="n">
        <v>0</v>
      </c>
      <c r="O13" s="46" t="n">
        <v>3.3</v>
      </c>
      <c r="P13" s="47" t="n">
        <v>0</v>
      </c>
      <c r="Q13" s="23" t="n">
        <f aca="false">IF($A13="","",IFERROR(MATCH($C13,'합격 기준 수치표'!$B$6:$B$13,0),0))</f>
        <v>3</v>
      </c>
      <c r="R13" s="23" t="str">
        <f aca="false">IF($A13="","",IF(AND(E13&gt;='합격 기준 수치표'!$D$17,F13&gt;='합격 기준 수치표'!$D$18,F13&lt;='합격 기준 수치표'!$D$19,G13&gt;='합격 기준 수치표'!$D$20,G13&lt;='합격 기준 수치표'!$D$21,P13&lt;='합격 기준 수치표'!$D$23,OR(H13&lt;='합격 기준 수치표'!$D$24,O13="",O13&lt;='합격 기준 수치표'!$D$22)),"OK","X"))</f>
        <v>OK</v>
      </c>
      <c r="S13" s="23" t="str">
        <f aca="false">IF($A13="","",IF($Q13=0,"?",IF(AND(INDEX('합격 기준 수치표'!$D$6:$D$13,$Q13)="",INDEX('합격 기준 수치표'!$E$6:$E$13,$Q13)=""),"-",IF(H13="","N/A",IF(OR(AND(INDEX('합격 기준 수치표'!$D$6:$D$13,$Q13)&lt;&gt;"",H13&lt;INDEX('합격 기준 수치표'!$D$6:$D$13,$Q13)),AND(INDEX('합격 기준 수치표'!$E$6:$E$13,$Q13)&lt;&gt;"",H13&gt;INDEX('합격 기준 수치표'!$E$6:$E$13,$Q13))),"X","OK")))))</f>
        <v>OK</v>
      </c>
      <c r="T13" s="23" t="str">
        <f aca="false">IF($A13="","",IF($Q13=0,"?",IF(AND(INDEX('합격 기준 수치표'!$F$6:$F$13,$Q13)="",INDEX('합격 기준 수치표'!$G$6:$G$13,$Q13)=""),"-",IF(I13="","N/A",IF(OR(AND(INDEX('합격 기준 수치표'!$F$6:$F$13,$Q13)&lt;&gt;"",I13&lt;INDEX('합격 기준 수치표'!$F$6:$F$13,$Q13)),AND(INDEX('합격 기준 수치표'!$G$6:$G$13,$Q13)&lt;&gt;"",I13&gt;INDEX('합격 기준 수치표'!$G$6:$G$13,$Q13))),"X","OK")))))</f>
        <v>OK</v>
      </c>
      <c r="U13" s="23" t="str">
        <f aca="false">IF($A13="","",IF($Q13=0,"?",IF(AND(INDEX('합격 기준 수치표'!$H$6:$H$13,$Q13)="",INDEX('합격 기준 수치표'!$I$6:$I$13,$Q13)=""),"-",IF(J13="","N/A",IF(OR(AND(INDEX('합격 기준 수치표'!$H$6:$H$13,$Q13)&lt;&gt;"",J13&lt;INDEX('합격 기준 수치표'!$H$6:$H$13,$Q13)),AND(INDEX('합격 기준 수치표'!$I$6:$I$13,$Q13)&lt;&gt;"",J13&gt;INDEX('합격 기준 수치표'!$I$6:$I$13,$Q13))),"X","OK")))))</f>
        <v>OK</v>
      </c>
      <c r="V13" s="23" t="str">
        <f aca="false">IF($A13="","",IF($Q13=0,"?",IF(AND(INDEX('합격 기준 수치표'!$J$6:$J$13,$Q13)="",INDEX('합격 기준 수치표'!$K$6:$K$13,$Q13)=""),"-",IF(K13="","N/A",IF(OR(AND(INDEX('합격 기준 수치표'!$J$6:$J$13,$Q13)&lt;&gt;"",K13&lt;INDEX('합격 기준 수치표'!$J$6:$J$13,$Q13)),AND(INDEX('합격 기준 수치표'!$K$6:$K$13,$Q13)&lt;&gt;"",K13&gt;INDEX('합격 기준 수치표'!$K$6:$K$13,$Q13))),"X","OK")))))</f>
        <v>OK</v>
      </c>
      <c r="W13" s="23" t="str">
        <f aca="false">IF($A13="","",IF($Q13=0,"?",IF(AND(INDEX('합격 기준 수치표'!$L$6:$L$13,$Q13)="",INDEX('합격 기준 수치표'!$M$6:$M$13,$Q13)=""),"-",IF(L13="","N/A",IF(OR(AND(INDEX('합격 기준 수치표'!$L$6:$L$13,$Q13)&lt;&gt;"",L13&lt;INDEX('합격 기준 수치표'!$L$6:$L$13,$Q13)),AND(INDEX('합격 기준 수치표'!$M$6:$M$13,$Q13)&lt;&gt;"",L13&gt;INDEX('합격 기준 수치표'!$M$6:$M$13,$Q13))),"X","OK")))))</f>
        <v>-</v>
      </c>
      <c r="X13" s="23" t="str">
        <f aca="false">IF($A13="","",IF($Q13=0,"?",IF(AND(INDEX('합격 기준 수치표'!$N$6:$N$13,$Q13)="",INDEX('합격 기준 수치표'!$O$6:$O$13,$Q13)=""),"-",IF(M13="","N/A",IF(OR(AND(INDEX('합격 기준 수치표'!$N$6:$N$13,$Q13)&lt;&gt;"",M13&lt;INDEX('합격 기준 수치표'!$N$6:$N$13,$Q13)),AND(INDEX('합격 기준 수치표'!$O$6:$O$13,$Q13)&lt;&gt;"",M13&gt;INDEX('합격 기준 수치표'!$O$6:$O$13,$Q13))),"X","OK")))))</f>
        <v>-</v>
      </c>
      <c r="Y13" s="23" t="str">
        <f aca="false">IF($A13="","",IF($Q13=0,"?",IF(AND(INDEX('합격 기준 수치표'!$P$6:$P$13,$Q13)="",INDEX('합격 기준 수치표'!$Q$6:$Q$13,$Q13)=""),"-",IF(N13="","N/A",IF(OR(AND(INDEX('합격 기준 수치표'!$P$6:$P$13,$Q13)&lt;&gt;"",N13&lt;INDEX('합격 기준 수치표'!$P$6:$P$13,$Q13)),AND(INDEX('합격 기준 수치표'!$Q$6:$Q$13,$Q13)&lt;&gt;"",N13&gt;INDEX('합격 기준 수치표'!$Q$6:$Q$13,$Q13))),"X","OK")))))</f>
        <v>-</v>
      </c>
      <c r="Z13" s="48" t="n">
        <f aca="false">IF($A13="","",COUNTIF($S13:$Y13,"X")+IF($R13="X",1,0))</f>
        <v>0</v>
      </c>
      <c r="AA13" s="21" t="str">
        <f aca="false">IF($A13="","",IF($Q13=0,"자세명 확인",IF($Z13=0,"PASS","FAIL")))</f>
        <v>PASS</v>
      </c>
    </row>
    <row r="14" customFormat="false" ht="15" hidden="false" customHeight="false" outlineLevel="0" collapsed="false">
      <c r="A14" s="43" t="s">
        <v>392</v>
      </c>
      <c r="B14" s="43" t="s">
        <v>206</v>
      </c>
      <c r="C14" s="43" t="s">
        <v>49</v>
      </c>
      <c r="D14" s="44" t="n">
        <v>2</v>
      </c>
      <c r="E14" s="44" t="n">
        <v>1245</v>
      </c>
      <c r="F14" s="44" t="n">
        <v>20</v>
      </c>
      <c r="G14" s="44" t="n">
        <v>62.3</v>
      </c>
      <c r="H14" s="45" t="n">
        <v>13118</v>
      </c>
      <c r="I14" s="45" t="n">
        <v>3487</v>
      </c>
      <c r="J14" s="46" t="n">
        <v>37.1</v>
      </c>
      <c r="K14" s="46" t="n">
        <v>48.3</v>
      </c>
      <c r="L14" s="46" t="n">
        <v>0</v>
      </c>
      <c r="M14" s="46" t="n">
        <v>47.4</v>
      </c>
      <c r="N14" s="44" t="n">
        <v>8</v>
      </c>
      <c r="O14" s="46" t="n">
        <v>2.7</v>
      </c>
      <c r="P14" s="47" t="n">
        <v>0</v>
      </c>
      <c r="Q14" s="23" t="n">
        <f aca="false">IF($A14="","",IFERROR(MATCH($C14,'합격 기준 수치표'!$B$6:$B$13,0),0))</f>
        <v>7</v>
      </c>
      <c r="R14" s="23" t="str">
        <f aca="false">IF($A14="","",IF(AND(E14&gt;='합격 기준 수치표'!$D$17,F14&gt;='합격 기준 수치표'!$D$18,F14&lt;='합격 기준 수치표'!$D$19,G14&gt;='합격 기준 수치표'!$D$20,G14&lt;='합격 기준 수치표'!$D$21,P14&lt;='합격 기준 수치표'!$D$23,OR(H14&lt;='합격 기준 수치표'!$D$24,O14="",O14&lt;='합격 기준 수치표'!$D$22)),"OK","X"))</f>
        <v>OK</v>
      </c>
      <c r="S14" s="23" t="str">
        <f aca="false">IF($A14="","",IF($Q14=0,"?",IF(AND(INDEX('합격 기준 수치표'!$D$6:$D$13,$Q14)="",INDEX('합격 기준 수치표'!$E$6:$E$13,$Q14)=""),"-",IF(H14="","N/A",IF(OR(AND(INDEX('합격 기준 수치표'!$D$6:$D$13,$Q14)&lt;&gt;"",H14&lt;INDEX('합격 기준 수치표'!$D$6:$D$13,$Q14)),AND(INDEX('합격 기준 수치표'!$E$6:$E$13,$Q14)&lt;&gt;"",H14&gt;INDEX('합격 기준 수치표'!$E$6:$E$13,$Q14))),"X","OK")))))</f>
        <v>OK</v>
      </c>
      <c r="T14" s="23" t="str">
        <f aca="false">IF($A14="","",IF($Q14=0,"?",IF(AND(INDEX('합격 기준 수치표'!$F$6:$F$13,$Q14)="",INDEX('합격 기준 수치표'!$G$6:$G$13,$Q14)=""),"-",IF(I14="","N/A",IF(OR(AND(INDEX('합격 기준 수치표'!$F$6:$F$13,$Q14)&lt;&gt;"",I14&lt;INDEX('합격 기준 수치표'!$F$6:$F$13,$Q14)),AND(INDEX('합격 기준 수치표'!$G$6:$G$13,$Q14)&lt;&gt;"",I14&gt;INDEX('합격 기준 수치표'!$G$6:$G$13,$Q14))),"X","OK")))))</f>
        <v>OK</v>
      </c>
      <c r="U14" s="23" t="str">
        <f aca="false">IF($A14="","",IF($Q14=0,"?",IF(AND(INDEX('합격 기준 수치표'!$H$6:$H$13,$Q14)="",INDEX('합격 기준 수치표'!$I$6:$I$13,$Q14)=""),"-",IF(J14="","N/A",IF(OR(AND(INDEX('합격 기준 수치표'!$H$6:$H$13,$Q14)&lt;&gt;"",J14&lt;INDEX('합격 기준 수치표'!$H$6:$H$13,$Q14)),AND(INDEX('합격 기준 수치표'!$I$6:$I$13,$Q14)&lt;&gt;"",J14&gt;INDEX('합격 기준 수치표'!$I$6:$I$13,$Q14))),"X","OK")))))</f>
        <v>-</v>
      </c>
      <c r="V14" s="23" t="str">
        <f aca="false">IF($A14="","",IF($Q14=0,"?",IF(AND(INDEX('합격 기준 수치표'!$J$6:$J$13,$Q14)="",INDEX('합격 기준 수치표'!$K$6:$K$13,$Q14)=""),"-",IF(K14="","N/A",IF(OR(AND(INDEX('합격 기준 수치표'!$J$6:$J$13,$Q14)&lt;&gt;"",K14&lt;INDEX('합격 기준 수치표'!$J$6:$J$13,$Q14)),AND(INDEX('합격 기준 수치표'!$K$6:$K$13,$Q14)&lt;&gt;"",K14&gt;INDEX('합격 기준 수치표'!$K$6:$K$13,$Q14))),"X","OK")))))</f>
        <v>-</v>
      </c>
      <c r="W14" s="23" t="str">
        <f aca="false">IF($A14="","",IF($Q14=0,"?",IF(AND(INDEX('합격 기준 수치표'!$L$6:$L$13,$Q14)="",INDEX('합격 기준 수치표'!$M$6:$M$13,$Q14)=""),"-",IF(L14="","N/A",IF(OR(AND(INDEX('합격 기준 수치표'!$L$6:$L$13,$Q14)&lt;&gt;"",L14&lt;INDEX('합격 기준 수치표'!$L$6:$L$13,$Q14)),AND(INDEX('합격 기준 수치표'!$M$6:$M$13,$Q14)&lt;&gt;"",L14&gt;INDEX('합격 기준 수치표'!$M$6:$M$13,$Q14))),"X","OK")))))</f>
        <v>OK</v>
      </c>
      <c r="X14" s="23" t="str">
        <f aca="false">IF($A14="","",IF($Q14=0,"?",IF(AND(INDEX('합격 기준 수치표'!$N$6:$N$13,$Q14)="",INDEX('합격 기준 수치표'!$O$6:$O$13,$Q14)=""),"-",IF(M14="","N/A",IF(OR(AND(INDEX('합격 기준 수치표'!$N$6:$N$13,$Q14)&lt;&gt;"",M14&lt;INDEX('합격 기준 수치표'!$N$6:$N$13,$Q14)),AND(INDEX('합격 기준 수치표'!$O$6:$O$13,$Q14)&lt;&gt;"",M14&gt;INDEX('합격 기준 수치표'!$O$6:$O$13,$Q14))),"X","OK")))))</f>
        <v>-</v>
      </c>
      <c r="Y14" s="23" t="str">
        <f aca="false">IF($A14="","",IF($Q14=0,"?",IF(AND(INDEX('합격 기준 수치표'!$P$6:$P$13,$Q14)="",INDEX('합격 기준 수치표'!$Q$6:$Q$13,$Q14)=""),"-",IF(N14="","N/A",IF(OR(AND(INDEX('합격 기준 수치표'!$P$6:$P$13,$Q14)&lt;&gt;"",N14&lt;INDEX('합격 기준 수치표'!$P$6:$P$13,$Q14)),AND(INDEX('합격 기준 수치표'!$Q$6:$Q$13,$Q14)&lt;&gt;"",N14&gt;INDEX('합격 기준 수치표'!$Q$6:$Q$13,$Q14))),"X","OK")))))</f>
        <v>OK</v>
      </c>
      <c r="Z14" s="48" t="n">
        <f aca="false">IF($A14="","",COUNTIF($S14:$Y14,"X")+IF($R14="X",1,0))</f>
        <v>0</v>
      </c>
      <c r="AA14" s="21" t="str">
        <f aca="false">IF($A14="","",IF($Q14=0,"자세명 확인",IF($Z14=0,"PASS","FAIL")))</f>
        <v>PASS</v>
      </c>
    </row>
    <row r="15" customFormat="false" ht="15" hidden="false" customHeight="false" outlineLevel="0" collapsed="false">
      <c r="A15" s="43" t="s">
        <v>393</v>
      </c>
      <c r="B15" s="43" t="s">
        <v>206</v>
      </c>
      <c r="C15" s="43" t="s">
        <v>44</v>
      </c>
      <c r="D15" s="44" t="n">
        <v>1</v>
      </c>
      <c r="E15" s="44" t="n">
        <v>1245</v>
      </c>
      <c r="F15" s="44" t="n">
        <v>20</v>
      </c>
      <c r="G15" s="44" t="n">
        <v>62.3</v>
      </c>
      <c r="H15" s="45" t="n">
        <v>11749</v>
      </c>
      <c r="I15" s="45" t="n">
        <v>1897</v>
      </c>
      <c r="J15" s="46" t="n">
        <v>41.6</v>
      </c>
      <c r="K15" s="46" t="n">
        <v>69.3</v>
      </c>
      <c r="L15" s="46" t="n">
        <v>100</v>
      </c>
      <c r="M15" s="46" t="n">
        <v>22.5</v>
      </c>
      <c r="N15" s="44" t="n">
        <v>7</v>
      </c>
      <c r="O15" s="46" t="n">
        <v>1.1</v>
      </c>
      <c r="P15" s="47" t="n">
        <v>0</v>
      </c>
      <c r="Q15" s="23" t="n">
        <f aca="false">IF($A15="","",IFERROR(MATCH($C15,'합격 기준 수치표'!$B$6:$B$13,0),0))</f>
        <v>6</v>
      </c>
      <c r="R15" s="23" t="str">
        <f aca="false">IF($A15="","",IF(AND(E15&gt;='합격 기준 수치표'!$D$17,F15&gt;='합격 기준 수치표'!$D$18,F15&lt;='합격 기준 수치표'!$D$19,G15&gt;='합격 기준 수치표'!$D$20,G15&lt;='합격 기준 수치표'!$D$21,P15&lt;='합격 기준 수치표'!$D$23,OR(H15&lt;='합격 기준 수치표'!$D$24,O15="",O15&lt;='합격 기준 수치표'!$D$22)),"OK","X"))</f>
        <v>OK</v>
      </c>
      <c r="S15" s="23" t="str">
        <f aca="false">IF($A15="","",IF($Q15=0,"?",IF(AND(INDEX('합격 기준 수치표'!$D$6:$D$13,$Q15)="",INDEX('합격 기준 수치표'!$E$6:$E$13,$Q15)=""),"-",IF(H15="","N/A",IF(OR(AND(INDEX('합격 기준 수치표'!$D$6:$D$13,$Q15)&lt;&gt;"",H15&lt;INDEX('합격 기준 수치표'!$D$6:$D$13,$Q15)),AND(INDEX('합격 기준 수치표'!$E$6:$E$13,$Q15)&lt;&gt;"",H15&gt;INDEX('합격 기준 수치표'!$E$6:$E$13,$Q15))),"X","OK")))))</f>
        <v>OK</v>
      </c>
      <c r="T15" s="23" t="str">
        <f aca="false">IF($A15="","",IF($Q15=0,"?",IF(AND(INDEX('합격 기준 수치표'!$F$6:$F$13,$Q15)="",INDEX('합격 기준 수치표'!$G$6:$G$13,$Q15)=""),"-",IF(I15="","N/A",IF(OR(AND(INDEX('합격 기준 수치표'!$F$6:$F$13,$Q15)&lt;&gt;"",I15&lt;INDEX('합격 기준 수치표'!$F$6:$F$13,$Q15)),AND(INDEX('합격 기준 수치표'!$G$6:$G$13,$Q15)&lt;&gt;"",I15&gt;INDEX('합격 기준 수치표'!$G$6:$G$13,$Q15))),"X","OK")))))</f>
        <v>OK</v>
      </c>
      <c r="U15" s="23" t="str">
        <f aca="false">IF($A15="","",IF($Q15=0,"?",IF(AND(INDEX('합격 기준 수치표'!$H$6:$H$13,$Q15)="",INDEX('합격 기준 수치표'!$I$6:$I$13,$Q15)=""),"-",IF(J15="","N/A",IF(OR(AND(INDEX('합격 기준 수치표'!$H$6:$H$13,$Q15)&lt;&gt;"",J15&lt;INDEX('합격 기준 수치표'!$H$6:$H$13,$Q15)),AND(INDEX('합격 기준 수치표'!$I$6:$I$13,$Q15)&lt;&gt;"",J15&gt;INDEX('합격 기준 수치표'!$I$6:$I$13,$Q15))),"X","OK")))))</f>
        <v>-</v>
      </c>
      <c r="V15" s="23" t="str">
        <f aca="false">IF($A15="","",IF($Q15=0,"?",IF(AND(INDEX('합격 기준 수치표'!$J$6:$J$13,$Q15)="",INDEX('합격 기준 수치표'!$K$6:$K$13,$Q15)=""),"-",IF(K15="","N/A",IF(OR(AND(INDEX('합격 기준 수치표'!$J$6:$J$13,$Q15)&lt;&gt;"",K15&lt;INDEX('합격 기준 수치표'!$J$6:$J$13,$Q15)),AND(INDEX('합격 기준 수치표'!$K$6:$K$13,$Q15)&lt;&gt;"",K15&gt;INDEX('합격 기준 수치표'!$K$6:$K$13,$Q15))),"X","OK")))))</f>
        <v>OK</v>
      </c>
      <c r="W15" s="23" t="str">
        <f aca="false">IF($A15="","",IF($Q15=0,"?",IF(AND(INDEX('합격 기준 수치표'!$L$6:$L$13,$Q15)="",INDEX('합격 기준 수치표'!$M$6:$M$13,$Q15)=""),"-",IF(L15="","N/A",IF(OR(AND(INDEX('합격 기준 수치표'!$L$6:$L$13,$Q15)&lt;&gt;"",L15&lt;INDEX('합격 기준 수치표'!$L$6:$L$13,$Q15)),AND(INDEX('합격 기준 수치표'!$M$6:$M$13,$Q15)&lt;&gt;"",L15&gt;INDEX('합격 기준 수치표'!$M$6:$M$13,$Q15))),"X","OK")))))</f>
        <v>OK</v>
      </c>
      <c r="X15" s="23" t="str">
        <f aca="false">IF($A15="","",IF($Q15=0,"?",IF(AND(INDEX('합격 기준 수치표'!$N$6:$N$13,$Q15)="",INDEX('합격 기준 수치표'!$O$6:$O$13,$Q15)=""),"-",IF(M15="","N/A",IF(OR(AND(INDEX('합격 기준 수치표'!$N$6:$N$13,$Q15)&lt;&gt;"",M15&lt;INDEX('합격 기준 수치표'!$N$6:$N$13,$Q15)),AND(INDEX('합격 기준 수치표'!$O$6:$O$13,$Q15)&lt;&gt;"",M15&gt;INDEX('합격 기준 수치표'!$O$6:$O$13,$Q15))),"X","OK")))))</f>
        <v>-</v>
      </c>
      <c r="Y15" s="23" t="str">
        <f aca="false">IF($A15="","",IF($Q15=0,"?",IF(AND(INDEX('합격 기준 수치표'!$P$6:$P$13,$Q15)="",INDEX('합격 기준 수치표'!$Q$6:$Q$13,$Q15)=""),"-",IF(N15="","N/A",IF(OR(AND(INDEX('합격 기준 수치표'!$P$6:$P$13,$Q15)&lt;&gt;"",N15&lt;INDEX('합격 기준 수치표'!$P$6:$P$13,$Q15)),AND(INDEX('합격 기준 수치표'!$Q$6:$Q$13,$Q15)&lt;&gt;"",N15&gt;INDEX('합격 기준 수치표'!$Q$6:$Q$13,$Q15))),"X","OK")))))</f>
        <v>OK</v>
      </c>
      <c r="Z15" s="48" t="n">
        <f aca="false">IF($A15="","",COUNTIF($S15:$Y15,"X")+IF($R15="X",1,0))</f>
        <v>0</v>
      </c>
      <c r="AA15" s="21" t="str">
        <f aca="false">IF($A15="","",IF($Q15=0,"자세명 확인",IF($Z15=0,"PASS","FAIL")))</f>
        <v>PASS</v>
      </c>
    </row>
    <row r="16" customFormat="false" ht="15" hidden="false" customHeight="false" outlineLevel="0" collapsed="false">
      <c r="A16" s="43" t="s">
        <v>394</v>
      </c>
      <c r="B16" s="43" t="s">
        <v>206</v>
      </c>
      <c r="C16" s="43" t="s">
        <v>25</v>
      </c>
      <c r="D16" s="44" t="n">
        <v>1</v>
      </c>
      <c r="E16" s="44" t="n">
        <v>1344</v>
      </c>
      <c r="F16" s="44" t="n">
        <v>20</v>
      </c>
      <c r="G16" s="44" t="n">
        <v>67.2</v>
      </c>
      <c r="H16" s="45" t="n">
        <v>12325</v>
      </c>
      <c r="I16" s="45" t="n">
        <v>2189</v>
      </c>
      <c r="J16" s="46" t="n">
        <v>37</v>
      </c>
      <c r="K16" s="46" t="n">
        <v>45.2</v>
      </c>
      <c r="L16" s="46" t="n">
        <v>51.1</v>
      </c>
      <c r="M16" s="46" t="n">
        <v>23</v>
      </c>
      <c r="N16" s="44" t="n">
        <v>14</v>
      </c>
      <c r="O16" s="46" t="n">
        <v>0.3</v>
      </c>
      <c r="P16" s="47" t="n">
        <v>0</v>
      </c>
      <c r="Q16" s="23" t="n">
        <f aca="false">IF($A16="","",IFERROR(MATCH($C16,'합격 기준 수치표'!$B$6:$B$13,0),0))</f>
        <v>2</v>
      </c>
      <c r="R16" s="23" t="str">
        <f aca="false">IF($A16="","",IF(AND(E16&gt;='합격 기준 수치표'!$D$17,F16&gt;='합격 기준 수치표'!$D$18,F16&lt;='합격 기준 수치표'!$D$19,G16&gt;='합격 기준 수치표'!$D$20,G16&lt;='합격 기준 수치표'!$D$21,P16&lt;='합격 기준 수치표'!$D$23,OR(H16&lt;='합격 기준 수치표'!$D$24,O16="",O16&lt;='합격 기준 수치표'!$D$22)),"OK","X"))</f>
        <v>OK</v>
      </c>
      <c r="S16" s="23" t="str">
        <f aca="false">IF($A16="","",IF($Q16=0,"?",IF(AND(INDEX('합격 기준 수치표'!$D$6:$D$13,$Q16)="",INDEX('합격 기준 수치표'!$E$6:$E$13,$Q16)=""),"-",IF(H16="","N/A",IF(OR(AND(INDEX('합격 기준 수치표'!$D$6:$D$13,$Q16)&lt;&gt;"",H16&lt;INDEX('합격 기준 수치표'!$D$6:$D$13,$Q16)),AND(INDEX('합격 기준 수치표'!$E$6:$E$13,$Q16)&lt;&gt;"",H16&gt;INDEX('합격 기준 수치표'!$E$6:$E$13,$Q16))),"X","OK")))))</f>
        <v>OK</v>
      </c>
      <c r="T16" s="23" t="str">
        <f aca="false">IF($A16="","",IF($Q16=0,"?",IF(AND(INDEX('합격 기준 수치표'!$F$6:$F$13,$Q16)="",INDEX('합격 기준 수치표'!$G$6:$G$13,$Q16)=""),"-",IF(I16="","N/A",IF(OR(AND(INDEX('합격 기준 수치표'!$F$6:$F$13,$Q16)&lt;&gt;"",I16&lt;INDEX('합격 기준 수치표'!$F$6:$F$13,$Q16)),AND(INDEX('합격 기준 수치표'!$G$6:$G$13,$Q16)&lt;&gt;"",I16&gt;INDEX('합격 기준 수치표'!$G$6:$G$13,$Q16))),"X","OK")))))</f>
        <v>OK</v>
      </c>
      <c r="U16" s="23" t="str">
        <f aca="false">IF($A16="","",IF($Q16=0,"?",IF(AND(INDEX('합격 기준 수치표'!$H$6:$H$13,$Q16)="",INDEX('합격 기준 수치표'!$I$6:$I$13,$Q16)=""),"-",IF(J16="","N/A",IF(OR(AND(INDEX('합격 기준 수치표'!$H$6:$H$13,$Q16)&lt;&gt;"",J16&lt;INDEX('합격 기준 수치표'!$H$6:$H$13,$Q16)),AND(INDEX('합격 기준 수치표'!$I$6:$I$13,$Q16)&lt;&gt;"",J16&gt;INDEX('합격 기준 수치표'!$I$6:$I$13,$Q16))),"X","OK")))))</f>
        <v>-</v>
      </c>
      <c r="V16" s="23" t="str">
        <f aca="false">IF($A16="","",IF($Q16=0,"?",IF(AND(INDEX('합격 기준 수치표'!$J$6:$J$13,$Q16)="",INDEX('합격 기준 수치표'!$K$6:$K$13,$Q16)=""),"-",IF(K16="","N/A",IF(OR(AND(INDEX('합격 기준 수치표'!$J$6:$J$13,$Q16)&lt;&gt;"",K16&lt;INDEX('합격 기준 수치표'!$J$6:$J$13,$Q16)),AND(INDEX('합격 기준 수치표'!$K$6:$K$13,$Q16)&lt;&gt;"",K16&gt;INDEX('합격 기준 수치표'!$K$6:$K$13,$Q16))),"X","OK")))))</f>
        <v>OK</v>
      </c>
      <c r="W16" s="23" t="str">
        <f aca="false">IF($A16="","",IF($Q16=0,"?",IF(AND(INDEX('합격 기준 수치표'!$L$6:$L$13,$Q16)="",INDEX('합격 기준 수치표'!$M$6:$M$13,$Q16)=""),"-",IF(L16="","N/A",IF(OR(AND(INDEX('합격 기준 수치표'!$L$6:$L$13,$Q16)&lt;&gt;"",L16&lt;INDEX('합격 기준 수치표'!$L$6:$L$13,$Q16)),AND(INDEX('합격 기준 수치표'!$M$6:$M$13,$Q16)&lt;&gt;"",L16&gt;INDEX('합격 기준 수치표'!$M$6:$M$13,$Q16))),"X","OK")))))</f>
        <v>-</v>
      </c>
      <c r="X16" s="23" t="str">
        <f aca="false">IF($A16="","",IF($Q16=0,"?",IF(AND(INDEX('합격 기준 수치표'!$N$6:$N$13,$Q16)="",INDEX('합격 기준 수치표'!$O$6:$O$13,$Q16)=""),"-",IF(M16="","N/A",IF(OR(AND(INDEX('합격 기준 수치표'!$N$6:$N$13,$Q16)&lt;&gt;"",M16&lt;INDEX('합격 기준 수치표'!$N$6:$N$13,$Q16)),AND(INDEX('합격 기준 수치표'!$O$6:$O$13,$Q16)&lt;&gt;"",M16&gt;INDEX('합격 기준 수치표'!$O$6:$O$13,$Q16))),"X","OK")))))</f>
        <v>-</v>
      </c>
      <c r="Y16" s="23" t="str">
        <f aca="false">IF($A16="","",IF($Q16=0,"?",IF(AND(INDEX('합격 기준 수치표'!$P$6:$P$13,$Q16)="",INDEX('합격 기준 수치표'!$Q$6:$Q$13,$Q16)=""),"-",IF(N16="","N/A",IF(OR(AND(INDEX('합격 기준 수치표'!$P$6:$P$13,$Q16)&lt;&gt;"",N16&lt;INDEX('합격 기준 수치표'!$P$6:$P$13,$Q16)),AND(INDEX('합격 기준 수치표'!$Q$6:$Q$13,$Q16)&lt;&gt;"",N16&gt;INDEX('합격 기준 수치표'!$Q$6:$Q$13,$Q16))),"X","OK")))))</f>
        <v>OK</v>
      </c>
      <c r="Z16" s="48" t="n">
        <f aca="false">IF($A16="","",COUNTIF($S16:$Y16,"X")+IF($R16="X",1,0))</f>
        <v>0</v>
      </c>
      <c r="AA16" s="21" t="str">
        <f aca="false">IF($A16="","",IF($Q16=0,"자세명 확인",IF($Z16=0,"PASS","FAIL")))</f>
        <v>PASS</v>
      </c>
    </row>
    <row r="17" customFormat="false" ht="15" hidden="false" customHeight="false" outlineLevel="0" collapsed="false">
      <c r="A17" s="43" t="s">
        <v>395</v>
      </c>
      <c r="B17" s="43" t="s">
        <v>206</v>
      </c>
      <c r="C17" s="43" t="s">
        <v>54</v>
      </c>
      <c r="D17" s="44" t="n">
        <v>1</v>
      </c>
      <c r="E17" s="44" t="n">
        <v>1245</v>
      </c>
      <c r="F17" s="44" t="n">
        <v>20</v>
      </c>
      <c r="G17" s="44" t="n">
        <v>62.3</v>
      </c>
      <c r="H17" s="45" t="n">
        <v>10977</v>
      </c>
      <c r="I17" s="45" t="n">
        <v>1584</v>
      </c>
      <c r="J17" s="46" t="n">
        <v>57.6</v>
      </c>
      <c r="K17" s="46" t="n">
        <v>50.3</v>
      </c>
      <c r="L17" s="46" t="n">
        <v>57.5</v>
      </c>
      <c r="M17" s="46" t="n">
        <v>0</v>
      </c>
      <c r="N17" s="44" t="n">
        <v>7</v>
      </c>
      <c r="O17" s="46" t="n">
        <v>1.1</v>
      </c>
      <c r="P17" s="47" t="n">
        <v>0</v>
      </c>
      <c r="Q17" s="23" t="n">
        <f aca="false">IF($A17="","",IFERROR(MATCH($C17,'합격 기준 수치표'!$B$6:$B$13,0),0))</f>
        <v>8</v>
      </c>
      <c r="R17" s="23" t="str">
        <f aca="false">IF($A17="","",IF(AND(E17&gt;='합격 기준 수치표'!$D$17,F17&gt;='합격 기준 수치표'!$D$18,F17&lt;='합격 기준 수치표'!$D$19,G17&gt;='합격 기준 수치표'!$D$20,G17&lt;='합격 기준 수치표'!$D$21,P17&lt;='합격 기준 수치표'!$D$23,OR(H17&lt;='합격 기준 수치표'!$D$24,O17="",O17&lt;='합격 기준 수치표'!$D$22)),"OK","X"))</f>
        <v>OK</v>
      </c>
      <c r="S17" s="23" t="str">
        <f aca="false">IF($A17="","",IF($Q17=0,"?",IF(AND(INDEX('합격 기준 수치표'!$D$6:$D$13,$Q17)="",INDEX('합격 기준 수치표'!$E$6:$E$13,$Q17)=""),"-",IF(H17="","N/A",IF(OR(AND(INDEX('합격 기준 수치표'!$D$6:$D$13,$Q17)&lt;&gt;"",H17&lt;INDEX('합격 기준 수치표'!$D$6:$D$13,$Q17)),AND(INDEX('합격 기준 수치표'!$E$6:$E$13,$Q17)&lt;&gt;"",H17&gt;INDEX('합격 기준 수치표'!$E$6:$E$13,$Q17))),"X","OK")))))</f>
        <v>OK</v>
      </c>
      <c r="T17" s="23" t="str">
        <f aca="false">IF($A17="","",IF($Q17=0,"?",IF(AND(INDEX('합격 기준 수치표'!$F$6:$F$13,$Q17)="",INDEX('합격 기준 수치표'!$G$6:$G$13,$Q17)=""),"-",IF(I17="","N/A",IF(OR(AND(INDEX('합격 기준 수치표'!$F$6:$F$13,$Q17)&lt;&gt;"",I17&lt;INDEX('합격 기준 수치표'!$F$6:$F$13,$Q17)),AND(INDEX('합격 기준 수치표'!$G$6:$G$13,$Q17)&lt;&gt;"",I17&gt;INDEX('합격 기준 수치표'!$G$6:$G$13,$Q17))),"X","OK")))))</f>
        <v>OK</v>
      </c>
      <c r="U17" s="23" t="str">
        <f aca="false">IF($A17="","",IF($Q17=0,"?",IF(AND(INDEX('합격 기준 수치표'!$H$6:$H$13,$Q17)="",INDEX('합격 기준 수치표'!$I$6:$I$13,$Q17)=""),"-",IF(J17="","N/A",IF(OR(AND(INDEX('합격 기준 수치표'!$H$6:$H$13,$Q17)&lt;&gt;"",J17&lt;INDEX('합격 기준 수치표'!$H$6:$H$13,$Q17)),AND(INDEX('합격 기준 수치표'!$I$6:$I$13,$Q17)&lt;&gt;"",J17&gt;INDEX('합격 기준 수치표'!$I$6:$I$13,$Q17))),"X","OK")))))</f>
        <v>-</v>
      </c>
      <c r="V17" s="23" t="str">
        <f aca="false">IF($A17="","",IF($Q17=0,"?",IF(AND(INDEX('합격 기준 수치표'!$J$6:$J$13,$Q17)="",INDEX('합격 기준 수치표'!$K$6:$K$13,$Q17)=""),"-",IF(K17="","N/A",IF(OR(AND(INDEX('합격 기준 수치표'!$J$6:$J$13,$Q17)&lt;&gt;"",K17&lt;INDEX('합격 기준 수치표'!$J$6:$J$13,$Q17)),AND(INDEX('합격 기준 수치표'!$K$6:$K$13,$Q17)&lt;&gt;"",K17&gt;INDEX('합격 기준 수치표'!$K$6:$K$13,$Q17))),"X","OK")))))</f>
        <v>OK</v>
      </c>
      <c r="W17" s="23" t="str">
        <f aca="false">IF($A17="","",IF($Q17=0,"?",IF(AND(INDEX('합격 기준 수치표'!$L$6:$L$13,$Q17)="",INDEX('합격 기준 수치표'!$M$6:$M$13,$Q17)=""),"-",IF(L17="","N/A",IF(OR(AND(INDEX('합격 기준 수치표'!$L$6:$L$13,$Q17)&lt;&gt;"",L17&lt;INDEX('합격 기준 수치표'!$L$6:$L$13,$Q17)),AND(INDEX('합격 기준 수치표'!$M$6:$M$13,$Q17)&lt;&gt;"",L17&gt;INDEX('합격 기준 수치표'!$M$6:$M$13,$Q17))),"X","OK")))))</f>
        <v>-</v>
      </c>
      <c r="X17" s="23" t="str">
        <f aca="false">IF($A17="","",IF($Q17=0,"?",IF(AND(INDEX('합격 기준 수치표'!$N$6:$N$13,$Q17)="",INDEX('합격 기준 수치표'!$O$6:$O$13,$Q17)=""),"-",IF(M17="","N/A",IF(OR(AND(INDEX('합격 기준 수치표'!$N$6:$N$13,$Q17)&lt;&gt;"",M17&lt;INDEX('합격 기준 수치표'!$N$6:$N$13,$Q17)),AND(INDEX('합격 기준 수치표'!$O$6:$O$13,$Q17)&lt;&gt;"",M17&gt;INDEX('합격 기준 수치표'!$O$6:$O$13,$Q17))),"X","OK")))))</f>
        <v>OK</v>
      </c>
      <c r="Y17" s="23" t="str">
        <f aca="false">IF($A17="","",IF($Q17=0,"?",IF(AND(INDEX('합격 기준 수치표'!$P$6:$P$13,$Q17)="",INDEX('합격 기준 수치표'!$Q$6:$Q$13,$Q17)=""),"-",IF(N17="","N/A",IF(OR(AND(INDEX('합격 기준 수치표'!$P$6:$P$13,$Q17)&lt;&gt;"",N17&lt;INDEX('합격 기준 수치표'!$P$6:$P$13,$Q17)),AND(INDEX('합격 기준 수치표'!$Q$6:$Q$13,$Q17)&lt;&gt;"",N17&gt;INDEX('합격 기준 수치표'!$Q$6:$Q$13,$Q17))),"X","OK")))))</f>
        <v>OK</v>
      </c>
      <c r="Z17" s="48" t="n">
        <f aca="false">IF($A17="","",COUNTIF($S17:$Y17,"X")+IF($R17="X",1,0))</f>
        <v>0</v>
      </c>
      <c r="AA17" s="21" t="str">
        <f aca="false">IF($A17="","",IF($Q17=0,"자세명 확인",IF($Z17=0,"PASS","FAIL")))</f>
        <v>PASS</v>
      </c>
    </row>
    <row r="18" customFormat="false" ht="15" hidden="false" customHeight="false" outlineLevel="0" collapsed="false">
      <c r="A18" s="43" t="s">
        <v>396</v>
      </c>
      <c r="B18" s="43" t="s">
        <v>214</v>
      </c>
      <c r="C18" s="43" t="s">
        <v>40</v>
      </c>
      <c r="D18" s="44" t="n">
        <v>2</v>
      </c>
      <c r="E18" s="44" t="n">
        <v>1244</v>
      </c>
      <c r="F18" s="44" t="n">
        <v>20</v>
      </c>
      <c r="G18" s="44" t="n">
        <v>62.2</v>
      </c>
      <c r="H18" s="45" t="n">
        <v>15265</v>
      </c>
      <c r="I18" s="45" t="n">
        <v>1680</v>
      </c>
      <c r="J18" s="46" t="n">
        <v>34.8</v>
      </c>
      <c r="K18" s="46" t="n">
        <v>62.9</v>
      </c>
      <c r="L18" s="46" t="n">
        <v>0</v>
      </c>
      <c r="M18" s="46" t="n">
        <v>0.1</v>
      </c>
      <c r="N18" s="44" t="n">
        <v>7</v>
      </c>
      <c r="O18" s="46" t="n">
        <v>0.2</v>
      </c>
      <c r="P18" s="47" t="n">
        <v>0</v>
      </c>
      <c r="Q18" s="23" t="n">
        <f aca="false">IF($A18="","",IFERROR(MATCH($C18,'합격 기준 수치표'!$B$6:$B$13,0),0))</f>
        <v>5</v>
      </c>
      <c r="R18" s="23" t="str">
        <f aca="false">IF($A18="","",IF(AND(E18&gt;='합격 기준 수치표'!$D$17,F18&gt;='합격 기준 수치표'!$D$18,F18&lt;='합격 기준 수치표'!$D$19,G18&gt;='합격 기준 수치표'!$D$20,G18&lt;='합격 기준 수치표'!$D$21,P18&lt;='합격 기준 수치표'!$D$23,OR(H18&lt;='합격 기준 수치표'!$D$24,O18="",O18&lt;='합격 기준 수치표'!$D$22)),"OK","X"))</f>
        <v>OK</v>
      </c>
      <c r="S18" s="23" t="str">
        <f aca="false">IF($A18="","",IF($Q18=0,"?",IF(AND(INDEX('합격 기준 수치표'!$D$6:$D$13,$Q18)="",INDEX('합격 기준 수치표'!$E$6:$E$13,$Q18)=""),"-",IF(H18="","N/A",IF(OR(AND(INDEX('합격 기준 수치표'!$D$6:$D$13,$Q18)&lt;&gt;"",H18&lt;INDEX('합격 기준 수치표'!$D$6:$D$13,$Q18)),AND(INDEX('합격 기준 수치표'!$E$6:$E$13,$Q18)&lt;&gt;"",H18&gt;INDEX('합격 기준 수치표'!$E$6:$E$13,$Q18))),"X","OK")))))</f>
        <v>OK</v>
      </c>
      <c r="T18" s="23" t="str">
        <f aca="false">IF($A18="","",IF($Q18=0,"?",IF(AND(INDEX('합격 기준 수치표'!$F$6:$F$13,$Q18)="",INDEX('합격 기준 수치표'!$G$6:$G$13,$Q18)=""),"-",IF(I18="","N/A",IF(OR(AND(INDEX('합격 기준 수치표'!$F$6:$F$13,$Q18)&lt;&gt;"",I18&lt;INDEX('합격 기준 수치표'!$F$6:$F$13,$Q18)),AND(INDEX('합격 기준 수치표'!$G$6:$G$13,$Q18)&lt;&gt;"",I18&gt;INDEX('합격 기준 수치표'!$G$6:$G$13,$Q18))),"X","OK")))))</f>
        <v>OK</v>
      </c>
      <c r="U18" s="23" t="str">
        <f aca="false">IF($A18="","",IF($Q18=0,"?",IF(AND(INDEX('합격 기준 수치표'!$H$6:$H$13,$Q18)="",INDEX('합격 기준 수치표'!$I$6:$I$13,$Q18)=""),"-",IF(J18="","N/A",IF(OR(AND(INDEX('합격 기준 수치표'!$H$6:$H$13,$Q18)&lt;&gt;"",J18&lt;INDEX('합격 기준 수치표'!$H$6:$H$13,$Q18)),AND(INDEX('합격 기준 수치표'!$I$6:$I$13,$Q18)&lt;&gt;"",J18&gt;INDEX('합격 기준 수치표'!$I$6:$I$13,$Q18))),"X","OK")))))</f>
        <v>-</v>
      </c>
      <c r="V18" s="23" t="str">
        <f aca="false">IF($A18="","",IF($Q18=0,"?",IF(AND(INDEX('합격 기준 수치표'!$J$6:$J$13,$Q18)="",INDEX('합격 기준 수치표'!$K$6:$K$13,$Q18)=""),"-",IF(K18="","N/A",IF(OR(AND(INDEX('합격 기준 수치표'!$J$6:$J$13,$Q18)&lt;&gt;"",K18&lt;INDEX('합격 기준 수치표'!$J$6:$J$13,$Q18)),AND(INDEX('합격 기준 수치표'!$K$6:$K$13,$Q18)&lt;&gt;"",K18&gt;INDEX('합격 기준 수치표'!$K$6:$K$13,$Q18))),"X","OK")))))</f>
        <v>OK</v>
      </c>
      <c r="W18" s="23" t="str">
        <f aca="false">IF($A18="","",IF($Q18=0,"?",IF(AND(INDEX('합격 기준 수치표'!$L$6:$L$13,$Q18)="",INDEX('합격 기준 수치표'!$M$6:$M$13,$Q18)=""),"-",IF(L18="","N/A",IF(OR(AND(INDEX('합격 기준 수치표'!$L$6:$L$13,$Q18)&lt;&gt;"",L18&lt;INDEX('합격 기준 수치표'!$L$6:$L$13,$Q18)),AND(INDEX('합격 기준 수치표'!$M$6:$M$13,$Q18)&lt;&gt;"",L18&gt;INDEX('합격 기준 수치표'!$M$6:$M$13,$Q18))),"X","OK")))))</f>
        <v>-</v>
      </c>
      <c r="X18" s="23" t="str">
        <f aca="false">IF($A18="","",IF($Q18=0,"?",IF(AND(INDEX('합격 기준 수치표'!$N$6:$N$13,$Q18)="",INDEX('합격 기준 수치표'!$O$6:$O$13,$Q18)=""),"-",IF(M18="","N/A",IF(OR(AND(INDEX('합격 기준 수치표'!$N$6:$N$13,$Q18)&lt;&gt;"",M18&lt;INDEX('합격 기준 수치표'!$N$6:$N$13,$Q18)),AND(INDEX('합격 기준 수치표'!$O$6:$O$13,$Q18)&lt;&gt;"",M18&gt;INDEX('합격 기준 수치표'!$O$6:$O$13,$Q18))),"X","OK")))))</f>
        <v>-</v>
      </c>
      <c r="Y18" s="23" t="str">
        <f aca="false">IF($A18="","",IF($Q18=0,"?",IF(AND(INDEX('합격 기준 수치표'!$P$6:$P$13,$Q18)="",INDEX('합격 기준 수치표'!$Q$6:$Q$13,$Q18)=""),"-",IF(N18="","N/A",IF(OR(AND(INDEX('합격 기준 수치표'!$P$6:$P$13,$Q18)&lt;&gt;"",N18&lt;INDEX('합격 기준 수치표'!$P$6:$P$13,$Q18)),AND(INDEX('합격 기준 수치표'!$Q$6:$Q$13,$Q18)&lt;&gt;"",N18&gt;INDEX('합격 기준 수치표'!$Q$6:$Q$13,$Q18))),"X","OK")))))</f>
        <v>OK</v>
      </c>
      <c r="Z18" s="48" t="n">
        <f aca="false">IF($A18="","",COUNTIF($S18:$Y18,"X")+IF($R18="X",1,0))</f>
        <v>0</v>
      </c>
      <c r="AA18" s="21" t="str">
        <f aca="false">IF($A18="","",IF($Q18=0,"자세명 확인",IF($Z18=0,"PASS","FAIL")))</f>
        <v>PASS</v>
      </c>
    </row>
    <row r="19" customFormat="false" ht="15" hidden="false" customHeight="false" outlineLevel="0" collapsed="false">
      <c r="A19" s="43" t="s">
        <v>397</v>
      </c>
      <c r="B19" s="43" t="s">
        <v>214</v>
      </c>
      <c r="C19" s="43" t="s">
        <v>35</v>
      </c>
      <c r="D19" s="44" t="n">
        <v>1</v>
      </c>
      <c r="E19" s="44" t="n">
        <v>1246</v>
      </c>
      <c r="F19" s="44" t="n">
        <v>20</v>
      </c>
      <c r="G19" s="44" t="n">
        <v>62.3</v>
      </c>
      <c r="H19" s="45" t="n">
        <v>15639</v>
      </c>
      <c r="I19" s="45" t="n">
        <v>4179</v>
      </c>
      <c r="J19" s="46" t="n">
        <v>40.7</v>
      </c>
      <c r="K19" s="46" t="n">
        <v>43.5</v>
      </c>
      <c r="L19" s="46" t="n">
        <v>43.6</v>
      </c>
      <c r="M19" s="46" t="n">
        <v>0</v>
      </c>
      <c r="N19" s="44" t="n">
        <v>13</v>
      </c>
      <c r="O19" s="46" t="n">
        <v>0.2</v>
      </c>
      <c r="P19" s="47" t="n">
        <v>0</v>
      </c>
      <c r="Q19" s="23" t="n">
        <f aca="false">IF($A19="","",IFERROR(MATCH($C19,'합격 기준 수치표'!$B$6:$B$13,0),0))</f>
        <v>4</v>
      </c>
      <c r="R19" s="23" t="str">
        <f aca="false">IF($A19="","",IF(AND(E19&gt;='합격 기준 수치표'!$D$17,F19&gt;='합격 기준 수치표'!$D$18,F19&lt;='합격 기준 수치표'!$D$19,G19&gt;='합격 기준 수치표'!$D$20,G19&lt;='합격 기준 수치표'!$D$21,P19&lt;='합격 기준 수치표'!$D$23,OR(H19&lt;='합격 기준 수치표'!$D$24,O19="",O19&lt;='합격 기준 수치표'!$D$22)),"OK","X"))</f>
        <v>OK</v>
      </c>
      <c r="S19" s="23" t="str">
        <f aca="false">IF($A19="","",IF($Q19=0,"?",IF(AND(INDEX('합격 기준 수치표'!$D$6:$D$13,$Q19)="",INDEX('합격 기준 수치표'!$E$6:$E$13,$Q19)=""),"-",IF(H19="","N/A",IF(OR(AND(INDEX('합격 기준 수치표'!$D$6:$D$13,$Q19)&lt;&gt;"",H19&lt;INDEX('합격 기준 수치표'!$D$6:$D$13,$Q19)),AND(INDEX('합격 기준 수치표'!$E$6:$E$13,$Q19)&lt;&gt;"",H19&gt;INDEX('합격 기준 수치표'!$E$6:$E$13,$Q19))),"X","OK")))))</f>
        <v>OK</v>
      </c>
      <c r="T19" s="23" t="str">
        <f aca="false">IF($A19="","",IF($Q19=0,"?",IF(AND(INDEX('합격 기준 수치표'!$F$6:$F$13,$Q19)="",INDEX('합격 기준 수치표'!$G$6:$G$13,$Q19)=""),"-",IF(I19="","N/A",IF(OR(AND(INDEX('합격 기준 수치표'!$F$6:$F$13,$Q19)&lt;&gt;"",I19&lt;INDEX('합격 기준 수치표'!$F$6:$F$13,$Q19)),AND(INDEX('합격 기준 수치표'!$G$6:$G$13,$Q19)&lt;&gt;"",I19&gt;INDEX('합격 기준 수치표'!$G$6:$G$13,$Q19))),"X","OK")))))</f>
        <v>OK</v>
      </c>
      <c r="U19" s="23" t="str">
        <f aca="false">IF($A19="","",IF($Q19=0,"?",IF(AND(INDEX('합격 기준 수치표'!$H$6:$H$13,$Q19)="",INDEX('합격 기준 수치표'!$I$6:$I$13,$Q19)=""),"-",IF(J19="","N/A",IF(OR(AND(INDEX('합격 기준 수치표'!$H$6:$H$13,$Q19)&lt;&gt;"",J19&lt;INDEX('합격 기준 수치표'!$H$6:$H$13,$Q19)),AND(INDEX('합격 기준 수치표'!$I$6:$I$13,$Q19)&lt;&gt;"",J19&gt;INDEX('합격 기준 수치표'!$I$6:$I$13,$Q19))),"X","OK")))))</f>
        <v>-</v>
      </c>
      <c r="V19" s="23" t="str">
        <f aca="false">IF($A19="","",IF($Q19=0,"?",IF(AND(INDEX('합격 기준 수치표'!$J$6:$J$13,$Q19)="",INDEX('합격 기준 수치표'!$K$6:$K$13,$Q19)=""),"-",IF(K19="","N/A",IF(OR(AND(INDEX('합격 기준 수치표'!$J$6:$J$13,$Q19)&lt;&gt;"",K19&lt;INDEX('합격 기준 수치표'!$J$6:$J$13,$Q19)),AND(INDEX('합격 기준 수치표'!$K$6:$K$13,$Q19)&lt;&gt;"",K19&gt;INDEX('합격 기준 수치표'!$K$6:$K$13,$Q19))),"X","OK")))))</f>
        <v>OK</v>
      </c>
      <c r="W19" s="23" t="str">
        <f aca="false">IF($A19="","",IF($Q19=0,"?",IF(AND(INDEX('합격 기준 수치표'!$L$6:$L$13,$Q19)="",INDEX('합격 기준 수치표'!$M$6:$M$13,$Q19)=""),"-",IF(L19="","N/A",IF(OR(AND(INDEX('합격 기준 수치표'!$L$6:$L$13,$Q19)&lt;&gt;"",L19&lt;INDEX('합격 기준 수치표'!$L$6:$L$13,$Q19)),AND(INDEX('합격 기준 수치표'!$M$6:$M$13,$Q19)&lt;&gt;"",L19&gt;INDEX('합격 기준 수치표'!$M$6:$M$13,$Q19))),"X","OK")))))</f>
        <v>-</v>
      </c>
      <c r="X19" s="23" t="str">
        <f aca="false">IF($A19="","",IF($Q19=0,"?",IF(AND(INDEX('합격 기준 수치표'!$N$6:$N$13,$Q19)="",INDEX('합격 기준 수치표'!$O$6:$O$13,$Q19)=""),"-",IF(M19="","N/A",IF(OR(AND(INDEX('합격 기준 수치표'!$N$6:$N$13,$Q19)&lt;&gt;"",M19&lt;INDEX('합격 기준 수치표'!$N$6:$N$13,$Q19)),AND(INDEX('합격 기준 수치표'!$O$6:$O$13,$Q19)&lt;&gt;"",M19&gt;INDEX('합격 기준 수치표'!$O$6:$O$13,$Q19))),"X","OK")))))</f>
        <v>-</v>
      </c>
      <c r="Y19" s="23" t="str">
        <f aca="false">IF($A19="","",IF($Q19=0,"?",IF(AND(INDEX('합격 기준 수치표'!$P$6:$P$13,$Q19)="",INDEX('합격 기준 수치표'!$Q$6:$Q$13,$Q19)=""),"-",IF(N19="","N/A",IF(OR(AND(INDEX('합격 기준 수치표'!$P$6:$P$13,$Q19)&lt;&gt;"",N19&lt;INDEX('합격 기준 수치표'!$P$6:$P$13,$Q19)),AND(INDEX('합격 기준 수치표'!$Q$6:$Q$13,$Q19)&lt;&gt;"",N19&gt;INDEX('합격 기준 수치표'!$Q$6:$Q$13,$Q19))),"X","OK")))))</f>
        <v>OK</v>
      </c>
      <c r="Z19" s="48" t="n">
        <f aca="false">IF($A19="","",COUNTIF($S19:$Y19,"X")+IF($R19="X",1,0))</f>
        <v>0</v>
      </c>
      <c r="AA19" s="21" t="str">
        <f aca="false">IF($A19="","",IF($Q19=0,"자세명 확인",IF($Z19=0,"PASS","FAIL")))</f>
        <v>PASS</v>
      </c>
    </row>
    <row r="20" customFormat="false" ht="15" hidden="false" customHeight="false" outlineLevel="0" collapsed="false">
      <c r="A20" s="43" t="s">
        <v>398</v>
      </c>
      <c r="B20" s="43" t="s">
        <v>214</v>
      </c>
      <c r="C20" s="43" t="s">
        <v>30</v>
      </c>
      <c r="D20" s="44" t="n">
        <v>1</v>
      </c>
      <c r="E20" s="44" t="n">
        <v>1245</v>
      </c>
      <c r="F20" s="44" t="n">
        <v>20</v>
      </c>
      <c r="G20" s="44" t="n">
        <v>62.3</v>
      </c>
      <c r="H20" s="45" t="n">
        <v>12234</v>
      </c>
      <c r="I20" s="45" t="n">
        <v>0</v>
      </c>
      <c r="J20" s="46" t="n">
        <v>18.2</v>
      </c>
      <c r="K20" s="46" t="n">
        <v>52.6</v>
      </c>
      <c r="L20" s="46"/>
      <c r="M20" s="46"/>
      <c r="N20" s="44" t="n">
        <v>0</v>
      </c>
      <c r="O20" s="46" t="n">
        <v>0.7</v>
      </c>
      <c r="P20" s="47" t="n">
        <v>0</v>
      </c>
      <c r="Q20" s="23" t="n">
        <f aca="false">IF($A20="","",IFERROR(MATCH($C20,'합격 기준 수치표'!$B$6:$B$13,0),0))</f>
        <v>3</v>
      </c>
      <c r="R20" s="23" t="str">
        <f aca="false">IF($A20="","",IF(AND(E20&gt;='합격 기준 수치표'!$D$17,F20&gt;='합격 기준 수치표'!$D$18,F20&lt;='합격 기준 수치표'!$D$19,G20&gt;='합격 기준 수치표'!$D$20,G20&lt;='합격 기준 수치표'!$D$21,P20&lt;='합격 기준 수치표'!$D$23,OR(H20&lt;='합격 기준 수치표'!$D$24,O20="",O20&lt;='합격 기준 수치표'!$D$22)),"OK","X"))</f>
        <v>OK</v>
      </c>
      <c r="S20" s="23" t="str">
        <f aca="false">IF($A20="","",IF($Q20=0,"?",IF(AND(INDEX('합격 기준 수치표'!$D$6:$D$13,$Q20)="",INDEX('합격 기준 수치표'!$E$6:$E$13,$Q20)=""),"-",IF(H20="","N/A",IF(OR(AND(INDEX('합격 기준 수치표'!$D$6:$D$13,$Q20)&lt;&gt;"",H20&lt;INDEX('합격 기준 수치표'!$D$6:$D$13,$Q20)),AND(INDEX('합격 기준 수치표'!$E$6:$E$13,$Q20)&lt;&gt;"",H20&gt;INDEX('합격 기준 수치표'!$E$6:$E$13,$Q20))),"X","OK")))))</f>
        <v>OK</v>
      </c>
      <c r="T20" s="23" t="str">
        <f aca="false">IF($A20="","",IF($Q20=0,"?",IF(AND(INDEX('합격 기준 수치표'!$F$6:$F$13,$Q20)="",INDEX('합격 기준 수치표'!$G$6:$G$13,$Q20)=""),"-",IF(I20="","N/A",IF(OR(AND(INDEX('합격 기준 수치표'!$F$6:$F$13,$Q20)&lt;&gt;"",I20&lt;INDEX('합격 기준 수치표'!$F$6:$F$13,$Q20)),AND(INDEX('합격 기준 수치표'!$G$6:$G$13,$Q20)&lt;&gt;"",I20&gt;INDEX('합격 기준 수치표'!$G$6:$G$13,$Q20))),"X","OK")))))</f>
        <v>OK</v>
      </c>
      <c r="U20" s="23" t="str">
        <f aca="false">IF($A20="","",IF($Q20=0,"?",IF(AND(INDEX('합격 기준 수치표'!$H$6:$H$13,$Q20)="",INDEX('합격 기준 수치표'!$I$6:$I$13,$Q20)=""),"-",IF(J20="","N/A",IF(OR(AND(INDEX('합격 기준 수치표'!$H$6:$H$13,$Q20)&lt;&gt;"",J20&lt;INDEX('합격 기준 수치표'!$H$6:$H$13,$Q20)),AND(INDEX('합격 기준 수치표'!$I$6:$I$13,$Q20)&lt;&gt;"",J20&gt;INDEX('합격 기준 수치표'!$I$6:$I$13,$Q20))),"X","OK")))))</f>
        <v>OK</v>
      </c>
      <c r="V20" s="23" t="str">
        <f aca="false">IF($A20="","",IF($Q20=0,"?",IF(AND(INDEX('합격 기준 수치표'!$J$6:$J$13,$Q20)="",INDEX('합격 기준 수치표'!$K$6:$K$13,$Q20)=""),"-",IF(K20="","N/A",IF(OR(AND(INDEX('합격 기준 수치표'!$J$6:$J$13,$Q20)&lt;&gt;"",K20&lt;INDEX('합격 기준 수치표'!$J$6:$J$13,$Q20)),AND(INDEX('합격 기준 수치표'!$K$6:$K$13,$Q20)&lt;&gt;"",K20&gt;INDEX('합격 기준 수치표'!$K$6:$K$13,$Q20))),"X","OK")))))</f>
        <v>OK</v>
      </c>
      <c r="W20" s="23" t="str">
        <f aca="false">IF($A20="","",IF($Q20=0,"?",IF(AND(INDEX('합격 기준 수치표'!$L$6:$L$13,$Q20)="",INDEX('합격 기준 수치표'!$M$6:$M$13,$Q20)=""),"-",IF(L20="","N/A",IF(OR(AND(INDEX('합격 기준 수치표'!$L$6:$L$13,$Q20)&lt;&gt;"",L20&lt;INDEX('합격 기준 수치표'!$L$6:$L$13,$Q20)),AND(INDEX('합격 기준 수치표'!$M$6:$M$13,$Q20)&lt;&gt;"",L20&gt;INDEX('합격 기준 수치표'!$M$6:$M$13,$Q20))),"X","OK")))))</f>
        <v>-</v>
      </c>
      <c r="X20" s="23" t="str">
        <f aca="false">IF($A20="","",IF($Q20=0,"?",IF(AND(INDEX('합격 기준 수치표'!$N$6:$N$13,$Q20)="",INDEX('합격 기준 수치표'!$O$6:$O$13,$Q20)=""),"-",IF(M20="","N/A",IF(OR(AND(INDEX('합격 기준 수치표'!$N$6:$N$13,$Q20)&lt;&gt;"",M20&lt;INDEX('합격 기준 수치표'!$N$6:$N$13,$Q20)),AND(INDEX('합격 기준 수치표'!$O$6:$O$13,$Q20)&lt;&gt;"",M20&gt;INDEX('합격 기준 수치표'!$O$6:$O$13,$Q20))),"X","OK")))))</f>
        <v>-</v>
      </c>
      <c r="Y20" s="23" t="str">
        <f aca="false">IF($A20="","",IF($Q20=0,"?",IF(AND(INDEX('합격 기준 수치표'!$P$6:$P$13,$Q20)="",INDEX('합격 기준 수치표'!$Q$6:$Q$13,$Q20)=""),"-",IF(N20="","N/A",IF(OR(AND(INDEX('합격 기준 수치표'!$P$6:$P$13,$Q20)&lt;&gt;"",N20&lt;INDEX('합격 기준 수치표'!$P$6:$P$13,$Q20)),AND(INDEX('합격 기준 수치표'!$Q$6:$Q$13,$Q20)&lt;&gt;"",N20&gt;INDEX('합격 기준 수치표'!$Q$6:$Q$13,$Q20))),"X","OK")))))</f>
        <v>-</v>
      </c>
      <c r="Z20" s="48" t="n">
        <f aca="false">IF($A20="","",COUNTIF($S20:$Y20,"X")+IF($R20="X",1,0))</f>
        <v>0</v>
      </c>
      <c r="AA20" s="21" t="str">
        <f aca="false">IF($A20="","",IF($Q20=0,"자세명 확인",IF($Z20=0,"PASS","FAIL")))</f>
        <v>PASS</v>
      </c>
    </row>
    <row r="21" customFormat="false" ht="15" hidden="false" customHeight="false" outlineLevel="0" collapsed="false">
      <c r="A21" s="43" t="s">
        <v>399</v>
      </c>
      <c r="B21" s="43" t="s">
        <v>214</v>
      </c>
      <c r="C21" s="43" t="s">
        <v>49</v>
      </c>
      <c r="D21" s="44" t="n">
        <v>1</v>
      </c>
      <c r="E21" s="44" t="n">
        <v>1244</v>
      </c>
      <c r="F21" s="44" t="n">
        <v>20</v>
      </c>
      <c r="G21" s="44" t="n">
        <v>62.2</v>
      </c>
      <c r="H21" s="45" t="n">
        <v>12564</v>
      </c>
      <c r="I21" s="45" t="n">
        <v>5111</v>
      </c>
      <c r="J21" s="46" t="n">
        <v>28</v>
      </c>
      <c r="K21" s="46" t="n">
        <v>44.4</v>
      </c>
      <c r="L21" s="46" t="n">
        <v>10.8</v>
      </c>
      <c r="M21" s="46" t="n">
        <v>22.9</v>
      </c>
      <c r="N21" s="44" t="n">
        <v>14</v>
      </c>
      <c r="O21" s="46" t="n">
        <v>1.4</v>
      </c>
      <c r="P21" s="47" t="n">
        <v>0</v>
      </c>
      <c r="Q21" s="23" t="n">
        <f aca="false">IF($A21="","",IFERROR(MATCH($C21,'합격 기준 수치표'!$B$6:$B$13,0),0))</f>
        <v>7</v>
      </c>
      <c r="R21" s="23" t="str">
        <f aca="false">IF($A21="","",IF(AND(E21&gt;='합격 기준 수치표'!$D$17,F21&gt;='합격 기준 수치표'!$D$18,F21&lt;='합격 기준 수치표'!$D$19,G21&gt;='합격 기준 수치표'!$D$20,G21&lt;='합격 기준 수치표'!$D$21,P21&lt;='합격 기준 수치표'!$D$23,OR(H21&lt;='합격 기준 수치표'!$D$24,O21="",O21&lt;='합격 기준 수치표'!$D$22)),"OK","X"))</f>
        <v>OK</v>
      </c>
      <c r="S21" s="23" t="str">
        <f aca="false">IF($A21="","",IF($Q21=0,"?",IF(AND(INDEX('합격 기준 수치표'!$D$6:$D$13,$Q21)="",INDEX('합격 기준 수치표'!$E$6:$E$13,$Q21)=""),"-",IF(H21="","N/A",IF(OR(AND(INDEX('합격 기준 수치표'!$D$6:$D$13,$Q21)&lt;&gt;"",H21&lt;INDEX('합격 기준 수치표'!$D$6:$D$13,$Q21)),AND(INDEX('합격 기준 수치표'!$E$6:$E$13,$Q21)&lt;&gt;"",H21&gt;INDEX('합격 기준 수치표'!$E$6:$E$13,$Q21))),"X","OK")))))</f>
        <v>OK</v>
      </c>
      <c r="T21" s="23" t="str">
        <f aca="false">IF($A21="","",IF($Q21=0,"?",IF(AND(INDEX('합격 기준 수치표'!$F$6:$F$13,$Q21)="",INDEX('합격 기준 수치표'!$G$6:$G$13,$Q21)=""),"-",IF(I21="","N/A",IF(OR(AND(INDEX('합격 기준 수치표'!$F$6:$F$13,$Q21)&lt;&gt;"",I21&lt;INDEX('합격 기준 수치표'!$F$6:$F$13,$Q21)),AND(INDEX('합격 기준 수치표'!$G$6:$G$13,$Q21)&lt;&gt;"",I21&gt;INDEX('합격 기준 수치표'!$G$6:$G$13,$Q21))),"X","OK")))))</f>
        <v>OK</v>
      </c>
      <c r="U21" s="23" t="str">
        <f aca="false">IF($A21="","",IF($Q21=0,"?",IF(AND(INDEX('합격 기준 수치표'!$H$6:$H$13,$Q21)="",INDEX('합격 기준 수치표'!$I$6:$I$13,$Q21)=""),"-",IF(J21="","N/A",IF(OR(AND(INDEX('합격 기준 수치표'!$H$6:$H$13,$Q21)&lt;&gt;"",J21&lt;INDEX('합격 기준 수치표'!$H$6:$H$13,$Q21)),AND(INDEX('합격 기준 수치표'!$I$6:$I$13,$Q21)&lt;&gt;"",J21&gt;INDEX('합격 기준 수치표'!$I$6:$I$13,$Q21))),"X","OK")))))</f>
        <v>-</v>
      </c>
      <c r="V21" s="23" t="str">
        <f aca="false">IF($A21="","",IF($Q21=0,"?",IF(AND(INDEX('합격 기준 수치표'!$J$6:$J$13,$Q21)="",INDEX('합격 기준 수치표'!$K$6:$K$13,$Q21)=""),"-",IF(K21="","N/A",IF(OR(AND(INDEX('합격 기준 수치표'!$J$6:$J$13,$Q21)&lt;&gt;"",K21&lt;INDEX('합격 기준 수치표'!$J$6:$J$13,$Q21)),AND(INDEX('합격 기준 수치표'!$K$6:$K$13,$Q21)&lt;&gt;"",K21&gt;INDEX('합격 기준 수치표'!$K$6:$K$13,$Q21))),"X","OK")))))</f>
        <v>-</v>
      </c>
      <c r="W21" s="23" t="str">
        <f aca="false">IF($A21="","",IF($Q21=0,"?",IF(AND(INDEX('합격 기준 수치표'!$L$6:$L$13,$Q21)="",INDEX('합격 기준 수치표'!$M$6:$M$13,$Q21)=""),"-",IF(L21="","N/A",IF(OR(AND(INDEX('합격 기준 수치표'!$L$6:$L$13,$Q21)&lt;&gt;"",L21&lt;INDEX('합격 기준 수치표'!$L$6:$L$13,$Q21)),AND(INDEX('합격 기준 수치표'!$M$6:$M$13,$Q21)&lt;&gt;"",L21&gt;INDEX('합격 기준 수치표'!$M$6:$M$13,$Q21))),"X","OK")))))</f>
        <v>OK</v>
      </c>
      <c r="X21" s="23" t="str">
        <f aca="false">IF($A21="","",IF($Q21=0,"?",IF(AND(INDEX('합격 기준 수치표'!$N$6:$N$13,$Q21)="",INDEX('합격 기준 수치표'!$O$6:$O$13,$Q21)=""),"-",IF(M21="","N/A",IF(OR(AND(INDEX('합격 기준 수치표'!$N$6:$N$13,$Q21)&lt;&gt;"",M21&lt;INDEX('합격 기준 수치표'!$N$6:$N$13,$Q21)),AND(INDEX('합격 기준 수치표'!$O$6:$O$13,$Q21)&lt;&gt;"",M21&gt;INDEX('합격 기준 수치표'!$O$6:$O$13,$Q21))),"X","OK")))))</f>
        <v>-</v>
      </c>
      <c r="Y21" s="23" t="str">
        <f aca="false">IF($A21="","",IF($Q21=0,"?",IF(AND(INDEX('합격 기준 수치표'!$P$6:$P$13,$Q21)="",INDEX('합격 기준 수치표'!$Q$6:$Q$13,$Q21)=""),"-",IF(N21="","N/A",IF(OR(AND(INDEX('합격 기준 수치표'!$P$6:$P$13,$Q21)&lt;&gt;"",N21&lt;INDEX('합격 기준 수치표'!$P$6:$P$13,$Q21)),AND(INDEX('합격 기준 수치표'!$Q$6:$Q$13,$Q21)&lt;&gt;"",N21&gt;INDEX('합격 기준 수치표'!$Q$6:$Q$13,$Q21))),"X","OK")))))</f>
        <v>OK</v>
      </c>
      <c r="Z21" s="48" t="n">
        <f aca="false">IF($A21="","",COUNTIF($S21:$Y21,"X")+IF($R21="X",1,0))</f>
        <v>0</v>
      </c>
      <c r="AA21" s="21" t="str">
        <f aca="false">IF($A21="","",IF($Q21=0,"자세명 확인",IF($Z21=0,"PASS","FAIL")))</f>
        <v>PASS</v>
      </c>
    </row>
    <row r="22" customFormat="false" ht="15" hidden="false" customHeight="false" outlineLevel="0" collapsed="false">
      <c r="A22" s="43" t="s">
        <v>400</v>
      </c>
      <c r="B22" s="43" t="s">
        <v>214</v>
      </c>
      <c r="C22" s="43" t="s">
        <v>44</v>
      </c>
      <c r="D22" s="44" t="n">
        <v>1</v>
      </c>
      <c r="E22" s="44" t="n">
        <v>1245</v>
      </c>
      <c r="F22" s="44" t="n">
        <v>20</v>
      </c>
      <c r="G22" s="44" t="n">
        <v>62.3</v>
      </c>
      <c r="H22" s="45" t="n">
        <v>13716</v>
      </c>
      <c r="I22" s="45" t="n">
        <v>4438</v>
      </c>
      <c r="J22" s="46" t="n">
        <v>29.9</v>
      </c>
      <c r="K22" s="46" t="n">
        <v>68.4</v>
      </c>
      <c r="L22" s="46" t="n">
        <v>100</v>
      </c>
      <c r="M22" s="46" t="n">
        <v>34.9</v>
      </c>
      <c r="N22" s="44" t="n">
        <v>11</v>
      </c>
      <c r="O22" s="46" t="n">
        <v>1.1</v>
      </c>
      <c r="P22" s="47" t="n">
        <v>0</v>
      </c>
      <c r="Q22" s="23" t="n">
        <f aca="false">IF($A22="","",IFERROR(MATCH($C22,'합격 기준 수치표'!$B$6:$B$13,0),0))</f>
        <v>6</v>
      </c>
      <c r="R22" s="23" t="str">
        <f aca="false">IF($A22="","",IF(AND(E22&gt;='합격 기준 수치표'!$D$17,F22&gt;='합격 기준 수치표'!$D$18,F22&lt;='합격 기준 수치표'!$D$19,G22&gt;='합격 기준 수치표'!$D$20,G22&lt;='합격 기준 수치표'!$D$21,P22&lt;='합격 기준 수치표'!$D$23,OR(H22&lt;='합격 기준 수치표'!$D$24,O22="",O22&lt;='합격 기준 수치표'!$D$22)),"OK","X"))</f>
        <v>OK</v>
      </c>
      <c r="S22" s="23" t="str">
        <f aca="false">IF($A22="","",IF($Q22=0,"?",IF(AND(INDEX('합격 기준 수치표'!$D$6:$D$13,$Q22)="",INDEX('합격 기준 수치표'!$E$6:$E$13,$Q22)=""),"-",IF(H22="","N/A",IF(OR(AND(INDEX('합격 기준 수치표'!$D$6:$D$13,$Q22)&lt;&gt;"",H22&lt;INDEX('합격 기준 수치표'!$D$6:$D$13,$Q22)),AND(INDEX('합격 기준 수치표'!$E$6:$E$13,$Q22)&lt;&gt;"",H22&gt;INDEX('합격 기준 수치표'!$E$6:$E$13,$Q22))),"X","OK")))))</f>
        <v>OK</v>
      </c>
      <c r="T22" s="23" t="str">
        <f aca="false">IF($A22="","",IF($Q22=0,"?",IF(AND(INDEX('합격 기준 수치표'!$F$6:$F$13,$Q22)="",INDEX('합격 기준 수치표'!$G$6:$G$13,$Q22)=""),"-",IF(I22="","N/A",IF(OR(AND(INDEX('합격 기준 수치표'!$F$6:$F$13,$Q22)&lt;&gt;"",I22&lt;INDEX('합격 기준 수치표'!$F$6:$F$13,$Q22)),AND(INDEX('합격 기준 수치표'!$G$6:$G$13,$Q22)&lt;&gt;"",I22&gt;INDEX('합격 기준 수치표'!$G$6:$G$13,$Q22))),"X","OK")))))</f>
        <v>OK</v>
      </c>
      <c r="U22" s="23" t="str">
        <f aca="false">IF($A22="","",IF($Q22=0,"?",IF(AND(INDEX('합격 기준 수치표'!$H$6:$H$13,$Q22)="",INDEX('합격 기준 수치표'!$I$6:$I$13,$Q22)=""),"-",IF(J22="","N/A",IF(OR(AND(INDEX('합격 기준 수치표'!$H$6:$H$13,$Q22)&lt;&gt;"",J22&lt;INDEX('합격 기준 수치표'!$H$6:$H$13,$Q22)),AND(INDEX('합격 기준 수치표'!$I$6:$I$13,$Q22)&lt;&gt;"",J22&gt;INDEX('합격 기준 수치표'!$I$6:$I$13,$Q22))),"X","OK")))))</f>
        <v>-</v>
      </c>
      <c r="V22" s="23" t="str">
        <f aca="false">IF($A22="","",IF($Q22=0,"?",IF(AND(INDEX('합격 기준 수치표'!$J$6:$J$13,$Q22)="",INDEX('합격 기준 수치표'!$K$6:$K$13,$Q22)=""),"-",IF(K22="","N/A",IF(OR(AND(INDEX('합격 기준 수치표'!$J$6:$J$13,$Q22)&lt;&gt;"",K22&lt;INDEX('합격 기준 수치표'!$J$6:$J$13,$Q22)),AND(INDEX('합격 기준 수치표'!$K$6:$K$13,$Q22)&lt;&gt;"",K22&gt;INDEX('합격 기준 수치표'!$K$6:$K$13,$Q22))),"X","OK")))))</f>
        <v>OK</v>
      </c>
      <c r="W22" s="23" t="str">
        <f aca="false">IF($A22="","",IF($Q22=0,"?",IF(AND(INDEX('합격 기준 수치표'!$L$6:$L$13,$Q22)="",INDEX('합격 기준 수치표'!$M$6:$M$13,$Q22)=""),"-",IF(L22="","N/A",IF(OR(AND(INDEX('합격 기준 수치표'!$L$6:$L$13,$Q22)&lt;&gt;"",L22&lt;INDEX('합격 기준 수치표'!$L$6:$L$13,$Q22)),AND(INDEX('합격 기준 수치표'!$M$6:$M$13,$Q22)&lt;&gt;"",L22&gt;INDEX('합격 기준 수치표'!$M$6:$M$13,$Q22))),"X","OK")))))</f>
        <v>OK</v>
      </c>
      <c r="X22" s="23" t="str">
        <f aca="false">IF($A22="","",IF($Q22=0,"?",IF(AND(INDEX('합격 기준 수치표'!$N$6:$N$13,$Q22)="",INDEX('합격 기준 수치표'!$O$6:$O$13,$Q22)=""),"-",IF(M22="","N/A",IF(OR(AND(INDEX('합격 기준 수치표'!$N$6:$N$13,$Q22)&lt;&gt;"",M22&lt;INDEX('합격 기준 수치표'!$N$6:$N$13,$Q22)),AND(INDEX('합격 기준 수치표'!$O$6:$O$13,$Q22)&lt;&gt;"",M22&gt;INDEX('합격 기준 수치표'!$O$6:$O$13,$Q22))),"X","OK")))))</f>
        <v>-</v>
      </c>
      <c r="Y22" s="23" t="str">
        <f aca="false">IF($A22="","",IF($Q22=0,"?",IF(AND(INDEX('합격 기준 수치표'!$P$6:$P$13,$Q22)="",INDEX('합격 기준 수치표'!$Q$6:$Q$13,$Q22)=""),"-",IF(N22="","N/A",IF(OR(AND(INDEX('합격 기준 수치표'!$P$6:$P$13,$Q22)&lt;&gt;"",N22&lt;INDEX('합격 기준 수치표'!$P$6:$P$13,$Q22)),AND(INDEX('합격 기준 수치표'!$Q$6:$Q$13,$Q22)&lt;&gt;"",N22&gt;INDEX('합격 기준 수치표'!$Q$6:$Q$13,$Q22))),"X","OK")))))</f>
        <v>OK</v>
      </c>
      <c r="Z22" s="48" t="n">
        <f aca="false">IF($A22="","",COUNTIF($S22:$Y22,"X")+IF($R22="X",1,0))</f>
        <v>0</v>
      </c>
      <c r="AA22" s="21" t="str">
        <f aca="false">IF($A22="","",IF($Q22=0,"자세명 확인",IF($Z22=0,"PASS","FAIL")))</f>
        <v>PASS</v>
      </c>
    </row>
    <row r="23" customFormat="false" ht="15" hidden="false" customHeight="false" outlineLevel="0" collapsed="false">
      <c r="A23" s="43" t="s">
        <v>401</v>
      </c>
      <c r="B23" s="43" t="s">
        <v>214</v>
      </c>
      <c r="C23" s="43" t="s">
        <v>21</v>
      </c>
      <c r="D23" s="44" t="n">
        <v>1</v>
      </c>
      <c r="E23" s="44" t="n">
        <v>1245</v>
      </c>
      <c r="F23" s="44" t="n">
        <v>20</v>
      </c>
      <c r="G23" s="44" t="n">
        <v>62.3</v>
      </c>
      <c r="H23" s="45" t="n">
        <v>0</v>
      </c>
      <c r="I23" s="45" t="n">
        <v>0</v>
      </c>
      <c r="J23" s="46"/>
      <c r="K23" s="46"/>
      <c r="L23" s="46"/>
      <c r="M23" s="46"/>
      <c r="N23" s="44" t="n">
        <v>0</v>
      </c>
      <c r="O23" s="46"/>
      <c r="P23" s="47" t="n">
        <v>0</v>
      </c>
      <c r="Q23" s="23" t="n">
        <f aca="false">IF($A23="","",IFERROR(MATCH($C23,'합격 기준 수치표'!$B$6:$B$13,0),0))</f>
        <v>1</v>
      </c>
      <c r="R23" s="23" t="str">
        <f aca="false">IF($A23="","",IF(AND(E23&gt;='합격 기준 수치표'!$D$17,F23&gt;='합격 기준 수치표'!$D$18,F23&lt;='합격 기준 수치표'!$D$19,G23&gt;='합격 기준 수치표'!$D$20,G23&lt;='합격 기준 수치표'!$D$21,P23&lt;='합격 기준 수치표'!$D$23,OR(H23&lt;='합격 기준 수치표'!$D$24,O23="",O23&lt;='합격 기준 수치표'!$D$22)),"OK","X"))</f>
        <v>OK</v>
      </c>
      <c r="S23" s="23" t="str">
        <f aca="false">IF($A23="","",IF($Q23=0,"?",IF(AND(INDEX('합격 기준 수치표'!$D$6:$D$13,$Q23)="",INDEX('합격 기준 수치표'!$E$6:$E$13,$Q23)=""),"-",IF(H23="","N/A",IF(OR(AND(INDEX('합격 기준 수치표'!$D$6:$D$13,$Q23)&lt;&gt;"",H23&lt;INDEX('합격 기준 수치표'!$D$6:$D$13,$Q23)),AND(INDEX('합격 기준 수치표'!$E$6:$E$13,$Q23)&lt;&gt;"",H23&gt;INDEX('합격 기준 수치표'!$E$6:$E$13,$Q23))),"X","OK")))))</f>
        <v>OK</v>
      </c>
      <c r="T23" s="23" t="str">
        <f aca="false">IF($A23="","",IF($Q23=0,"?",IF(AND(INDEX('합격 기준 수치표'!$F$6:$F$13,$Q23)="",INDEX('합격 기준 수치표'!$G$6:$G$13,$Q23)=""),"-",IF(I23="","N/A",IF(OR(AND(INDEX('합격 기준 수치표'!$F$6:$F$13,$Q23)&lt;&gt;"",I23&lt;INDEX('합격 기준 수치표'!$F$6:$F$13,$Q23)),AND(INDEX('합격 기준 수치표'!$G$6:$G$13,$Q23)&lt;&gt;"",I23&gt;INDEX('합격 기준 수치표'!$G$6:$G$13,$Q23))),"X","OK")))))</f>
        <v>OK</v>
      </c>
      <c r="U23" s="23" t="str">
        <f aca="false">IF($A23="","",IF($Q23=0,"?",IF(AND(INDEX('합격 기준 수치표'!$H$6:$H$13,$Q23)="",INDEX('합격 기준 수치표'!$I$6:$I$13,$Q23)=""),"-",IF(J23="","N/A",IF(OR(AND(INDEX('합격 기준 수치표'!$H$6:$H$13,$Q23)&lt;&gt;"",J23&lt;INDEX('합격 기준 수치표'!$H$6:$H$13,$Q23)),AND(INDEX('합격 기준 수치표'!$I$6:$I$13,$Q23)&lt;&gt;"",J23&gt;INDEX('합격 기준 수치표'!$I$6:$I$13,$Q23))),"X","OK")))))</f>
        <v>-</v>
      </c>
      <c r="V23" s="23" t="str">
        <f aca="false">IF($A23="","",IF($Q23=0,"?",IF(AND(INDEX('합격 기준 수치표'!$J$6:$J$13,$Q23)="",INDEX('합격 기준 수치표'!$K$6:$K$13,$Q23)=""),"-",IF(K23="","N/A",IF(OR(AND(INDEX('합격 기준 수치표'!$J$6:$J$13,$Q23)&lt;&gt;"",K23&lt;INDEX('합격 기준 수치표'!$J$6:$J$13,$Q23)),AND(INDEX('합격 기준 수치표'!$K$6:$K$13,$Q23)&lt;&gt;"",K23&gt;INDEX('합격 기준 수치표'!$K$6:$K$13,$Q23))),"X","OK")))))</f>
        <v>-</v>
      </c>
      <c r="W23" s="23" t="str">
        <f aca="false">IF($A23="","",IF($Q23=0,"?",IF(AND(INDEX('합격 기준 수치표'!$L$6:$L$13,$Q23)="",INDEX('합격 기준 수치표'!$M$6:$M$13,$Q23)=""),"-",IF(L23="","N/A",IF(OR(AND(INDEX('합격 기준 수치표'!$L$6:$L$13,$Q23)&lt;&gt;"",L23&lt;INDEX('합격 기준 수치표'!$L$6:$L$13,$Q23)),AND(INDEX('합격 기준 수치표'!$M$6:$M$13,$Q23)&lt;&gt;"",L23&gt;INDEX('합격 기준 수치표'!$M$6:$M$13,$Q23))),"X","OK")))))</f>
        <v>-</v>
      </c>
      <c r="X23" s="23" t="str">
        <f aca="false">IF($A23="","",IF($Q23=0,"?",IF(AND(INDEX('합격 기준 수치표'!$N$6:$N$13,$Q23)="",INDEX('합격 기준 수치표'!$O$6:$O$13,$Q23)=""),"-",IF(M23="","N/A",IF(OR(AND(INDEX('합격 기준 수치표'!$N$6:$N$13,$Q23)&lt;&gt;"",M23&lt;INDEX('합격 기준 수치표'!$N$6:$N$13,$Q23)),AND(INDEX('합격 기준 수치표'!$O$6:$O$13,$Q23)&lt;&gt;"",M23&gt;INDEX('합격 기준 수치표'!$O$6:$O$13,$Q23))),"X","OK")))))</f>
        <v>-</v>
      </c>
      <c r="Y23" s="23" t="str">
        <f aca="false">IF($A23="","",IF($Q23=0,"?",IF(AND(INDEX('합격 기준 수치표'!$P$6:$P$13,$Q23)="",INDEX('합격 기준 수치표'!$Q$6:$Q$13,$Q23)=""),"-",IF(N23="","N/A",IF(OR(AND(INDEX('합격 기준 수치표'!$P$6:$P$13,$Q23)&lt;&gt;"",N23&lt;INDEX('합격 기준 수치표'!$P$6:$P$13,$Q23)),AND(INDEX('합격 기준 수치표'!$Q$6:$Q$13,$Q23)&lt;&gt;"",N23&gt;INDEX('합격 기준 수치표'!$Q$6:$Q$13,$Q23))),"X","OK")))))</f>
        <v>-</v>
      </c>
      <c r="Z23" s="48" t="n">
        <f aca="false">IF($A23="","",COUNTIF($S23:$Y23,"X")+IF($R23="X",1,0))</f>
        <v>0</v>
      </c>
      <c r="AA23" s="21" t="str">
        <f aca="false">IF($A23="","",IF($Q23=0,"자세명 확인",IF($Z23=0,"PASS","FAIL")))</f>
        <v>PASS</v>
      </c>
    </row>
    <row r="24" customFormat="false" ht="15" hidden="false" customHeight="false" outlineLevel="0" collapsed="false">
      <c r="A24" s="43" t="s">
        <v>402</v>
      </c>
      <c r="B24" s="43" t="s">
        <v>214</v>
      </c>
      <c r="C24" s="43" t="s">
        <v>25</v>
      </c>
      <c r="D24" s="44" t="n">
        <v>2</v>
      </c>
      <c r="E24" s="44" t="n">
        <v>1244</v>
      </c>
      <c r="F24" s="44" t="n">
        <v>20</v>
      </c>
      <c r="G24" s="44" t="n">
        <v>62.2</v>
      </c>
      <c r="H24" s="45" t="n">
        <v>15766</v>
      </c>
      <c r="I24" s="45" t="n">
        <v>1471</v>
      </c>
      <c r="J24" s="46" t="n">
        <v>34.3</v>
      </c>
      <c r="K24" s="46" t="n">
        <v>49.1</v>
      </c>
      <c r="L24" s="46" t="n">
        <v>100</v>
      </c>
      <c r="M24" s="46" t="n">
        <v>0</v>
      </c>
      <c r="N24" s="44" t="n">
        <v>6</v>
      </c>
      <c r="O24" s="46" t="n">
        <v>0.2</v>
      </c>
      <c r="P24" s="47" t="n">
        <v>0</v>
      </c>
      <c r="Q24" s="23" t="n">
        <f aca="false">IF($A24="","",IFERROR(MATCH($C24,'합격 기준 수치표'!$B$6:$B$13,0),0))</f>
        <v>2</v>
      </c>
      <c r="R24" s="23" t="str">
        <f aca="false">IF($A24="","",IF(AND(E24&gt;='합격 기준 수치표'!$D$17,F24&gt;='합격 기준 수치표'!$D$18,F24&lt;='합격 기준 수치표'!$D$19,G24&gt;='합격 기준 수치표'!$D$20,G24&lt;='합격 기준 수치표'!$D$21,P24&lt;='합격 기준 수치표'!$D$23,OR(H24&lt;='합격 기준 수치표'!$D$24,O24="",O24&lt;='합격 기준 수치표'!$D$22)),"OK","X"))</f>
        <v>OK</v>
      </c>
      <c r="S24" s="23" t="str">
        <f aca="false">IF($A24="","",IF($Q24=0,"?",IF(AND(INDEX('합격 기준 수치표'!$D$6:$D$13,$Q24)="",INDEX('합격 기준 수치표'!$E$6:$E$13,$Q24)=""),"-",IF(H24="","N/A",IF(OR(AND(INDEX('합격 기준 수치표'!$D$6:$D$13,$Q24)&lt;&gt;"",H24&lt;INDEX('합격 기준 수치표'!$D$6:$D$13,$Q24)),AND(INDEX('합격 기준 수치표'!$E$6:$E$13,$Q24)&lt;&gt;"",H24&gt;INDEX('합격 기준 수치표'!$E$6:$E$13,$Q24))),"X","OK")))))</f>
        <v>OK</v>
      </c>
      <c r="T24" s="23" t="str">
        <f aca="false">IF($A24="","",IF($Q24=0,"?",IF(AND(INDEX('합격 기준 수치표'!$F$6:$F$13,$Q24)="",INDEX('합격 기준 수치표'!$G$6:$G$13,$Q24)=""),"-",IF(I24="","N/A",IF(OR(AND(INDEX('합격 기준 수치표'!$F$6:$F$13,$Q24)&lt;&gt;"",I24&lt;INDEX('합격 기준 수치표'!$F$6:$F$13,$Q24)),AND(INDEX('합격 기준 수치표'!$G$6:$G$13,$Q24)&lt;&gt;"",I24&gt;INDEX('합격 기준 수치표'!$G$6:$G$13,$Q24))),"X","OK")))))</f>
        <v>OK</v>
      </c>
      <c r="U24" s="23" t="str">
        <f aca="false">IF($A24="","",IF($Q24=0,"?",IF(AND(INDEX('합격 기준 수치표'!$H$6:$H$13,$Q24)="",INDEX('합격 기준 수치표'!$I$6:$I$13,$Q24)=""),"-",IF(J24="","N/A",IF(OR(AND(INDEX('합격 기준 수치표'!$H$6:$H$13,$Q24)&lt;&gt;"",J24&lt;INDEX('합격 기준 수치표'!$H$6:$H$13,$Q24)),AND(INDEX('합격 기준 수치표'!$I$6:$I$13,$Q24)&lt;&gt;"",J24&gt;INDEX('합격 기준 수치표'!$I$6:$I$13,$Q24))),"X","OK")))))</f>
        <v>-</v>
      </c>
      <c r="V24" s="23" t="str">
        <f aca="false">IF($A24="","",IF($Q24=0,"?",IF(AND(INDEX('합격 기준 수치표'!$J$6:$J$13,$Q24)="",INDEX('합격 기준 수치표'!$K$6:$K$13,$Q24)=""),"-",IF(K24="","N/A",IF(OR(AND(INDEX('합격 기준 수치표'!$J$6:$J$13,$Q24)&lt;&gt;"",K24&lt;INDEX('합격 기준 수치표'!$J$6:$J$13,$Q24)),AND(INDEX('합격 기준 수치표'!$K$6:$K$13,$Q24)&lt;&gt;"",K24&gt;INDEX('합격 기준 수치표'!$K$6:$K$13,$Q24))),"X","OK")))))</f>
        <v>OK</v>
      </c>
      <c r="W24" s="23" t="str">
        <f aca="false">IF($A24="","",IF($Q24=0,"?",IF(AND(INDEX('합격 기준 수치표'!$L$6:$L$13,$Q24)="",INDEX('합격 기준 수치표'!$M$6:$M$13,$Q24)=""),"-",IF(L24="","N/A",IF(OR(AND(INDEX('합격 기준 수치표'!$L$6:$L$13,$Q24)&lt;&gt;"",L24&lt;INDEX('합격 기준 수치표'!$L$6:$L$13,$Q24)),AND(INDEX('합격 기준 수치표'!$M$6:$M$13,$Q24)&lt;&gt;"",L24&gt;INDEX('합격 기준 수치표'!$M$6:$M$13,$Q24))),"X","OK")))))</f>
        <v>-</v>
      </c>
      <c r="X24" s="23" t="str">
        <f aca="false">IF($A24="","",IF($Q24=0,"?",IF(AND(INDEX('합격 기준 수치표'!$N$6:$N$13,$Q24)="",INDEX('합격 기준 수치표'!$O$6:$O$13,$Q24)=""),"-",IF(M24="","N/A",IF(OR(AND(INDEX('합격 기준 수치표'!$N$6:$N$13,$Q24)&lt;&gt;"",M24&lt;INDEX('합격 기준 수치표'!$N$6:$N$13,$Q24)),AND(INDEX('합격 기준 수치표'!$O$6:$O$13,$Q24)&lt;&gt;"",M24&gt;INDEX('합격 기준 수치표'!$O$6:$O$13,$Q24))),"X","OK")))))</f>
        <v>-</v>
      </c>
      <c r="Y24" s="23" t="str">
        <f aca="false">IF($A24="","",IF($Q24=0,"?",IF(AND(INDEX('합격 기준 수치표'!$P$6:$P$13,$Q24)="",INDEX('합격 기준 수치표'!$Q$6:$Q$13,$Q24)=""),"-",IF(N24="","N/A",IF(OR(AND(INDEX('합격 기준 수치표'!$P$6:$P$13,$Q24)&lt;&gt;"",N24&lt;INDEX('합격 기준 수치표'!$P$6:$P$13,$Q24)),AND(INDEX('합격 기준 수치표'!$Q$6:$Q$13,$Q24)&lt;&gt;"",N24&gt;INDEX('합격 기준 수치표'!$Q$6:$Q$13,$Q24))),"X","OK")))))</f>
        <v>OK</v>
      </c>
      <c r="Z24" s="48" t="n">
        <f aca="false">IF($A24="","",COUNTIF($S24:$Y24,"X")+IF($R24="X",1,0))</f>
        <v>0</v>
      </c>
      <c r="AA24" s="21" t="str">
        <f aca="false">IF($A24="","",IF($Q24=0,"자세명 확인",IF($Z24=0,"PASS","FAIL")))</f>
        <v>PASS</v>
      </c>
    </row>
    <row r="25" customFormat="false" ht="15" hidden="false" customHeight="false" outlineLevel="0" collapsed="false">
      <c r="A25" s="43" t="s">
        <v>403</v>
      </c>
      <c r="B25" s="43" t="s">
        <v>214</v>
      </c>
      <c r="C25" s="43" t="s">
        <v>54</v>
      </c>
      <c r="D25" s="44" t="n">
        <v>2</v>
      </c>
      <c r="E25" s="44" t="n">
        <v>1246</v>
      </c>
      <c r="F25" s="44" t="n">
        <v>20</v>
      </c>
      <c r="G25" s="44" t="n">
        <v>62.3</v>
      </c>
      <c r="H25" s="45" t="n">
        <v>14676</v>
      </c>
      <c r="I25" s="45" t="n">
        <v>7</v>
      </c>
      <c r="J25" s="46" t="n">
        <v>35.7</v>
      </c>
      <c r="K25" s="46" t="n">
        <v>50.6</v>
      </c>
      <c r="L25" s="46"/>
      <c r="M25" s="46"/>
      <c r="N25" s="44" t="n">
        <v>0</v>
      </c>
      <c r="O25" s="46" t="n">
        <v>0.6</v>
      </c>
      <c r="P25" s="47" t="n">
        <v>0</v>
      </c>
      <c r="Q25" s="23" t="n">
        <f aca="false">IF($A25="","",IFERROR(MATCH($C25,'합격 기준 수치표'!$B$6:$B$13,0),0))</f>
        <v>8</v>
      </c>
      <c r="R25" s="23" t="str">
        <f aca="false">IF($A25="","",IF(AND(E25&gt;='합격 기준 수치표'!$D$17,F25&gt;='합격 기준 수치표'!$D$18,F25&lt;='합격 기준 수치표'!$D$19,G25&gt;='합격 기준 수치표'!$D$20,G25&lt;='합격 기준 수치표'!$D$21,P25&lt;='합격 기준 수치표'!$D$23,OR(H25&lt;='합격 기준 수치표'!$D$24,O25="",O25&lt;='합격 기준 수치표'!$D$22)),"OK","X"))</f>
        <v>OK</v>
      </c>
      <c r="S25" s="23" t="str">
        <f aca="false">IF($A25="","",IF($Q25=0,"?",IF(AND(INDEX('합격 기준 수치표'!$D$6:$D$13,$Q25)="",INDEX('합격 기준 수치표'!$E$6:$E$13,$Q25)=""),"-",IF(H25="","N/A",IF(OR(AND(INDEX('합격 기준 수치표'!$D$6:$D$13,$Q25)&lt;&gt;"",H25&lt;INDEX('합격 기준 수치표'!$D$6:$D$13,$Q25)),AND(INDEX('합격 기준 수치표'!$E$6:$E$13,$Q25)&lt;&gt;"",H25&gt;INDEX('합격 기준 수치표'!$E$6:$E$13,$Q25))),"X","OK")))))</f>
        <v>OK</v>
      </c>
      <c r="T25" s="23" t="str">
        <f aca="false">IF($A25="","",IF($Q25=0,"?",IF(AND(INDEX('합격 기준 수치표'!$F$6:$F$13,$Q25)="",INDEX('합격 기준 수치표'!$G$6:$G$13,$Q25)=""),"-",IF(I25="","N/A",IF(OR(AND(INDEX('합격 기준 수치표'!$F$6:$F$13,$Q25)&lt;&gt;"",I25&lt;INDEX('합격 기준 수치표'!$F$6:$F$13,$Q25)),AND(INDEX('합격 기준 수치표'!$G$6:$G$13,$Q25)&lt;&gt;"",I25&gt;INDEX('합격 기준 수치표'!$G$6:$G$13,$Q25))),"X","OK")))))</f>
        <v>X</v>
      </c>
      <c r="U25" s="23" t="str">
        <f aca="false">IF($A25="","",IF($Q25=0,"?",IF(AND(INDEX('합격 기준 수치표'!$H$6:$H$13,$Q25)="",INDEX('합격 기준 수치표'!$I$6:$I$13,$Q25)=""),"-",IF(J25="","N/A",IF(OR(AND(INDEX('합격 기준 수치표'!$H$6:$H$13,$Q25)&lt;&gt;"",J25&lt;INDEX('합격 기준 수치표'!$H$6:$H$13,$Q25)),AND(INDEX('합격 기준 수치표'!$I$6:$I$13,$Q25)&lt;&gt;"",J25&gt;INDEX('합격 기준 수치표'!$I$6:$I$13,$Q25))),"X","OK")))))</f>
        <v>-</v>
      </c>
      <c r="V25" s="23" t="str">
        <f aca="false">IF($A25="","",IF($Q25=0,"?",IF(AND(INDEX('합격 기준 수치표'!$J$6:$J$13,$Q25)="",INDEX('합격 기준 수치표'!$K$6:$K$13,$Q25)=""),"-",IF(K25="","N/A",IF(OR(AND(INDEX('합격 기준 수치표'!$J$6:$J$13,$Q25)&lt;&gt;"",K25&lt;INDEX('합격 기준 수치표'!$J$6:$J$13,$Q25)),AND(INDEX('합격 기준 수치표'!$K$6:$K$13,$Q25)&lt;&gt;"",K25&gt;INDEX('합격 기준 수치표'!$K$6:$K$13,$Q25))),"X","OK")))))</f>
        <v>OK</v>
      </c>
      <c r="W25" s="23" t="str">
        <f aca="false">IF($A25="","",IF($Q25=0,"?",IF(AND(INDEX('합격 기준 수치표'!$L$6:$L$13,$Q25)="",INDEX('합격 기준 수치표'!$M$6:$M$13,$Q25)=""),"-",IF(L25="","N/A",IF(OR(AND(INDEX('합격 기준 수치표'!$L$6:$L$13,$Q25)&lt;&gt;"",L25&lt;INDEX('합격 기준 수치표'!$L$6:$L$13,$Q25)),AND(INDEX('합격 기준 수치표'!$M$6:$M$13,$Q25)&lt;&gt;"",L25&gt;INDEX('합격 기준 수치표'!$M$6:$M$13,$Q25))),"X","OK")))))</f>
        <v>-</v>
      </c>
      <c r="X25" s="23" t="str">
        <f aca="false">IF($A25="","",IF($Q25=0,"?",IF(AND(INDEX('합격 기준 수치표'!$N$6:$N$13,$Q25)="",INDEX('합격 기준 수치표'!$O$6:$O$13,$Q25)=""),"-",IF(M25="","N/A",IF(OR(AND(INDEX('합격 기준 수치표'!$N$6:$N$13,$Q25)&lt;&gt;"",M25&lt;INDEX('합격 기준 수치표'!$N$6:$N$13,$Q25)),AND(INDEX('합격 기준 수치표'!$O$6:$O$13,$Q25)&lt;&gt;"",M25&gt;INDEX('합격 기준 수치표'!$O$6:$O$13,$Q25))),"X","OK")))))</f>
        <v>N/A</v>
      </c>
      <c r="Y25" s="23" t="str">
        <f aca="false">IF($A25="","",IF($Q25=0,"?",IF(AND(INDEX('합격 기준 수치표'!$P$6:$P$13,$Q25)="",INDEX('합격 기준 수치표'!$Q$6:$Q$13,$Q25)=""),"-",IF(N25="","N/A",IF(OR(AND(INDEX('합격 기준 수치표'!$P$6:$P$13,$Q25)&lt;&gt;"",N25&lt;INDEX('합격 기준 수치표'!$P$6:$P$13,$Q25)),AND(INDEX('합격 기준 수치표'!$Q$6:$Q$13,$Q25)&lt;&gt;"",N25&gt;INDEX('합격 기준 수치표'!$Q$6:$Q$13,$Q25))),"X","OK")))))</f>
        <v>X</v>
      </c>
      <c r="Z25" s="48" t="n">
        <f aca="false">IF($A25="","",COUNTIF($S25:$Y25,"X")+IF($R25="X",1,0))</f>
        <v>2</v>
      </c>
      <c r="AA25" s="21" t="str">
        <f aca="false">IF($A25="","",IF($Q25=0,"자세명 확인",IF($Z25=0,"PASS","FAIL")))</f>
        <v>FAIL</v>
      </c>
    </row>
    <row r="26" customFormat="false" ht="15" hidden="false" customHeight="false" outlineLevel="0" collapsed="false">
      <c r="A26" s="43" t="s">
        <v>404</v>
      </c>
      <c r="B26" s="43" t="s">
        <v>212</v>
      </c>
      <c r="C26" s="43" t="s">
        <v>40</v>
      </c>
      <c r="D26" s="44" t="n">
        <v>1</v>
      </c>
      <c r="E26" s="44" t="n">
        <v>1246</v>
      </c>
      <c r="F26" s="44" t="n">
        <v>20</v>
      </c>
      <c r="G26" s="44" t="n">
        <v>62.3</v>
      </c>
      <c r="H26" s="45" t="n">
        <v>13092</v>
      </c>
      <c r="I26" s="45" t="n">
        <v>2644</v>
      </c>
      <c r="J26" s="46" t="n">
        <v>36.3</v>
      </c>
      <c r="K26" s="46" t="n">
        <v>65.6</v>
      </c>
      <c r="L26" s="46" t="n">
        <v>78.2</v>
      </c>
      <c r="M26" s="46" t="n">
        <v>13.8</v>
      </c>
      <c r="N26" s="44" t="n">
        <v>13</v>
      </c>
      <c r="O26" s="46" t="n">
        <v>2.4</v>
      </c>
      <c r="P26" s="47" t="n">
        <v>0</v>
      </c>
      <c r="Q26" s="23" t="n">
        <f aca="false">IF($A26="","",IFERROR(MATCH($C26,'합격 기준 수치표'!$B$6:$B$13,0),0))</f>
        <v>5</v>
      </c>
      <c r="R26" s="23" t="str">
        <f aca="false">IF($A26="","",IF(AND(E26&gt;='합격 기준 수치표'!$D$17,F26&gt;='합격 기준 수치표'!$D$18,F26&lt;='합격 기준 수치표'!$D$19,G26&gt;='합격 기준 수치표'!$D$20,G26&lt;='합격 기준 수치표'!$D$21,P26&lt;='합격 기준 수치표'!$D$23,OR(H26&lt;='합격 기준 수치표'!$D$24,O26="",O26&lt;='합격 기준 수치표'!$D$22)),"OK","X"))</f>
        <v>OK</v>
      </c>
      <c r="S26" s="23" t="str">
        <f aca="false">IF($A26="","",IF($Q26=0,"?",IF(AND(INDEX('합격 기준 수치표'!$D$6:$D$13,$Q26)="",INDEX('합격 기준 수치표'!$E$6:$E$13,$Q26)=""),"-",IF(H26="","N/A",IF(OR(AND(INDEX('합격 기준 수치표'!$D$6:$D$13,$Q26)&lt;&gt;"",H26&lt;INDEX('합격 기준 수치표'!$D$6:$D$13,$Q26)),AND(INDEX('합격 기준 수치표'!$E$6:$E$13,$Q26)&lt;&gt;"",H26&gt;INDEX('합격 기준 수치표'!$E$6:$E$13,$Q26))),"X","OK")))))</f>
        <v>OK</v>
      </c>
      <c r="T26" s="23" t="str">
        <f aca="false">IF($A26="","",IF($Q26=0,"?",IF(AND(INDEX('합격 기준 수치표'!$F$6:$F$13,$Q26)="",INDEX('합격 기준 수치표'!$G$6:$G$13,$Q26)=""),"-",IF(I26="","N/A",IF(OR(AND(INDEX('합격 기준 수치표'!$F$6:$F$13,$Q26)&lt;&gt;"",I26&lt;INDEX('합격 기준 수치표'!$F$6:$F$13,$Q26)),AND(INDEX('합격 기준 수치표'!$G$6:$G$13,$Q26)&lt;&gt;"",I26&gt;INDEX('합격 기준 수치표'!$G$6:$G$13,$Q26))),"X","OK")))))</f>
        <v>OK</v>
      </c>
      <c r="U26" s="23" t="str">
        <f aca="false">IF($A26="","",IF($Q26=0,"?",IF(AND(INDEX('합격 기준 수치표'!$H$6:$H$13,$Q26)="",INDEX('합격 기준 수치표'!$I$6:$I$13,$Q26)=""),"-",IF(J26="","N/A",IF(OR(AND(INDEX('합격 기준 수치표'!$H$6:$H$13,$Q26)&lt;&gt;"",J26&lt;INDEX('합격 기준 수치표'!$H$6:$H$13,$Q26)),AND(INDEX('합격 기준 수치표'!$I$6:$I$13,$Q26)&lt;&gt;"",J26&gt;INDEX('합격 기준 수치표'!$I$6:$I$13,$Q26))),"X","OK")))))</f>
        <v>-</v>
      </c>
      <c r="V26" s="23" t="str">
        <f aca="false">IF($A26="","",IF($Q26=0,"?",IF(AND(INDEX('합격 기준 수치표'!$J$6:$J$13,$Q26)="",INDEX('합격 기준 수치표'!$K$6:$K$13,$Q26)=""),"-",IF(K26="","N/A",IF(OR(AND(INDEX('합격 기준 수치표'!$J$6:$J$13,$Q26)&lt;&gt;"",K26&lt;INDEX('합격 기준 수치표'!$J$6:$J$13,$Q26)),AND(INDEX('합격 기준 수치표'!$K$6:$K$13,$Q26)&lt;&gt;"",K26&gt;INDEX('합격 기준 수치표'!$K$6:$K$13,$Q26))),"X","OK")))))</f>
        <v>OK</v>
      </c>
      <c r="W26" s="23" t="str">
        <f aca="false">IF($A26="","",IF($Q26=0,"?",IF(AND(INDEX('합격 기준 수치표'!$L$6:$L$13,$Q26)="",INDEX('합격 기준 수치표'!$M$6:$M$13,$Q26)=""),"-",IF(L26="","N/A",IF(OR(AND(INDEX('합격 기준 수치표'!$L$6:$L$13,$Q26)&lt;&gt;"",L26&lt;INDEX('합격 기준 수치표'!$L$6:$L$13,$Q26)),AND(INDEX('합격 기준 수치표'!$M$6:$M$13,$Q26)&lt;&gt;"",L26&gt;INDEX('합격 기준 수치표'!$M$6:$M$13,$Q26))),"X","OK")))))</f>
        <v>-</v>
      </c>
      <c r="X26" s="23" t="str">
        <f aca="false">IF($A26="","",IF($Q26=0,"?",IF(AND(INDEX('합격 기준 수치표'!$N$6:$N$13,$Q26)="",INDEX('합격 기준 수치표'!$O$6:$O$13,$Q26)=""),"-",IF(M26="","N/A",IF(OR(AND(INDEX('합격 기준 수치표'!$N$6:$N$13,$Q26)&lt;&gt;"",M26&lt;INDEX('합격 기준 수치표'!$N$6:$N$13,$Q26)),AND(INDEX('합격 기준 수치표'!$O$6:$O$13,$Q26)&lt;&gt;"",M26&gt;INDEX('합격 기준 수치표'!$O$6:$O$13,$Q26))),"X","OK")))))</f>
        <v>-</v>
      </c>
      <c r="Y26" s="23" t="str">
        <f aca="false">IF($A26="","",IF($Q26=0,"?",IF(AND(INDEX('합격 기준 수치표'!$P$6:$P$13,$Q26)="",INDEX('합격 기준 수치표'!$Q$6:$Q$13,$Q26)=""),"-",IF(N26="","N/A",IF(OR(AND(INDEX('합격 기준 수치표'!$P$6:$P$13,$Q26)&lt;&gt;"",N26&lt;INDEX('합격 기준 수치표'!$P$6:$P$13,$Q26)),AND(INDEX('합격 기준 수치표'!$Q$6:$Q$13,$Q26)&lt;&gt;"",N26&gt;INDEX('합격 기준 수치표'!$Q$6:$Q$13,$Q26))),"X","OK")))))</f>
        <v>OK</v>
      </c>
      <c r="Z26" s="48" t="n">
        <f aca="false">IF($A26="","",COUNTIF($S26:$Y26,"X")+IF($R26="X",1,0))</f>
        <v>0</v>
      </c>
      <c r="AA26" s="21" t="str">
        <f aca="false">IF($A26="","",IF($Q26=0,"자세명 확인",IF($Z26=0,"PASS","FAIL")))</f>
        <v>PASS</v>
      </c>
    </row>
    <row r="27" customFormat="false" ht="15" hidden="false" customHeight="false" outlineLevel="0" collapsed="false">
      <c r="A27" s="43" t="s">
        <v>405</v>
      </c>
      <c r="B27" s="43" t="s">
        <v>212</v>
      </c>
      <c r="C27" s="43" t="s">
        <v>35</v>
      </c>
      <c r="D27" s="44" t="n">
        <v>1</v>
      </c>
      <c r="E27" s="44" t="n">
        <v>1246</v>
      </c>
      <c r="F27" s="44" t="n">
        <v>20</v>
      </c>
      <c r="G27" s="44" t="n">
        <v>62.3</v>
      </c>
      <c r="H27" s="45" t="n">
        <v>13068</v>
      </c>
      <c r="I27" s="45" t="n">
        <v>1972</v>
      </c>
      <c r="J27" s="46" t="n">
        <v>41.4</v>
      </c>
      <c r="K27" s="46" t="n">
        <v>42.6</v>
      </c>
      <c r="L27" s="46" t="n">
        <v>58.8</v>
      </c>
      <c r="M27" s="46" t="n">
        <v>1.6</v>
      </c>
      <c r="N27" s="44" t="n">
        <v>11</v>
      </c>
      <c r="O27" s="46" t="n">
        <v>2</v>
      </c>
      <c r="P27" s="47" t="n">
        <v>0</v>
      </c>
      <c r="Q27" s="23" t="n">
        <f aca="false">IF($A27="","",IFERROR(MATCH($C27,'합격 기준 수치표'!$B$6:$B$13,0),0))</f>
        <v>4</v>
      </c>
      <c r="R27" s="23" t="str">
        <f aca="false">IF($A27="","",IF(AND(E27&gt;='합격 기준 수치표'!$D$17,F27&gt;='합격 기준 수치표'!$D$18,F27&lt;='합격 기준 수치표'!$D$19,G27&gt;='합격 기준 수치표'!$D$20,G27&lt;='합격 기준 수치표'!$D$21,P27&lt;='합격 기준 수치표'!$D$23,OR(H27&lt;='합격 기준 수치표'!$D$24,O27="",O27&lt;='합격 기준 수치표'!$D$22)),"OK","X"))</f>
        <v>OK</v>
      </c>
      <c r="S27" s="23" t="str">
        <f aca="false">IF($A27="","",IF($Q27=0,"?",IF(AND(INDEX('합격 기준 수치표'!$D$6:$D$13,$Q27)="",INDEX('합격 기준 수치표'!$E$6:$E$13,$Q27)=""),"-",IF(H27="","N/A",IF(OR(AND(INDEX('합격 기준 수치표'!$D$6:$D$13,$Q27)&lt;&gt;"",H27&lt;INDEX('합격 기준 수치표'!$D$6:$D$13,$Q27)),AND(INDEX('합격 기준 수치표'!$E$6:$E$13,$Q27)&lt;&gt;"",H27&gt;INDEX('합격 기준 수치표'!$E$6:$E$13,$Q27))),"X","OK")))))</f>
        <v>OK</v>
      </c>
      <c r="T27" s="23" t="str">
        <f aca="false">IF($A27="","",IF($Q27=0,"?",IF(AND(INDEX('합격 기준 수치표'!$F$6:$F$13,$Q27)="",INDEX('합격 기준 수치표'!$G$6:$G$13,$Q27)=""),"-",IF(I27="","N/A",IF(OR(AND(INDEX('합격 기준 수치표'!$F$6:$F$13,$Q27)&lt;&gt;"",I27&lt;INDEX('합격 기준 수치표'!$F$6:$F$13,$Q27)),AND(INDEX('합격 기준 수치표'!$G$6:$G$13,$Q27)&lt;&gt;"",I27&gt;INDEX('합격 기준 수치표'!$G$6:$G$13,$Q27))),"X","OK")))))</f>
        <v>OK</v>
      </c>
      <c r="U27" s="23" t="str">
        <f aca="false">IF($A27="","",IF($Q27=0,"?",IF(AND(INDEX('합격 기준 수치표'!$H$6:$H$13,$Q27)="",INDEX('합격 기준 수치표'!$I$6:$I$13,$Q27)=""),"-",IF(J27="","N/A",IF(OR(AND(INDEX('합격 기준 수치표'!$H$6:$H$13,$Q27)&lt;&gt;"",J27&lt;INDEX('합격 기준 수치표'!$H$6:$H$13,$Q27)),AND(INDEX('합격 기준 수치표'!$I$6:$I$13,$Q27)&lt;&gt;"",J27&gt;INDEX('합격 기준 수치표'!$I$6:$I$13,$Q27))),"X","OK")))))</f>
        <v>-</v>
      </c>
      <c r="V27" s="23" t="str">
        <f aca="false">IF($A27="","",IF($Q27=0,"?",IF(AND(INDEX('합격 기준 수치표'!$J$6:$J$13,$Q27)="",INDEX('합격 기준 수치표'!$K$6:$K$13,$Q27)=""),"-",IF(K27="","N/A",IF(OR(AND(INDEX('합격 기준 수치표'!$J$6:$J$13,$Q27)&lt;&gt;"",K27&lt;INDEX('합격 기준 수치표'!$J$6:$J$13,$Q27)),AND(INDEX('합격 기준 수치표'!$K$6:$K$13,$Q27)&lt;&gt;"",K27&gt;INDEX('합격 기준 수치표'!$K$6:$K$13,$Q27))),"X","OK")))))</f>
        <v>OK</v>
      </c>
      <c r="W27" s="23" t="str">
        <f aca="false">IF($A27="","",IF($Q27=0,"?",IF(AND(INDEX('합격 기준 수치표'!$L$6:$L$13,$Q27)="",INDEX('합격 기준 수치표'!$M$6:$M$13,$Q27)=""),"-",IF(L27="","N/A",IF(OR(AND(INDEX('합격 기준 수치표'!$L$6:$L$13,$Q27)&lt;&gt;"",L27&lt;INDEX('합격 기준 수치표'!$L$6:$L$13,$Q27)),AND(INDEX('합격 기준 수치표'!$M$6:$M$13,$Q27)&lt;&gt;"",L27&gt;INDEX('합격 기준 수치표'!$M$6:$M$13,$Q27))),"X","OK")))))</f>
        <v>-</v>
      </c>
      <c r="X27" s="23" t="str">
        <f aca="false">IF($A27="","",IF($Q27=0,"?",IF(AND(INDEX('합격 기준 수치표'!$N$6:$N$13,$Q27)="",INDEX('합격 기준 수치표'!$O$6:$O$13,$Q27)=""),"-",IF(M27="","N/A",IF(OR(AND(INDEX('합격 기준 수치표'!$N$6:$N$13,$Q27)&lt;&gt;"",M27&lt;INDEX('합격 기준 수치표'!$N$6:$N$13,$Q27)),AND(INDEX('합격 기준 수치표'!$O$6:$O$13,$Q27)&lt;&gt;"",M27&gt;INDEX('합격 기준 수치표'!$O$6:$O$13,$Q27))),"X","OK")))))</f>
        <v>-</v>
      </c>
      <c r="Y27" s="23" t="str">
        <f aca="false">IF($A27="","",IF($Q27=0,"?",IF(AND(INDEX('합격 기준 수치표'!$P$6:$P$13,$Q27)="",INDEX('합격 기준 수치표'!$Q$6:$Q$13,$Q27)=""),"-",IF(N27="","N/A",IF(OR(AND(INDEX('합격 기준 수치표'!$P$6:$P$13,$Q27)&lt;&gt;"",N27&lt;INDEX('합격 기준 수치표'!$P$6:$P$13,$Q27)),AND(INDEX('합격 기준 수치표'!$Q$6:$Q$13,$Q27)&lt;&gt;"",N27&gt;INDEX('합격 기준 수치표'!$Q$6:$Q$13,$Q27))),"X","OK")))))</f>
        <v>OK</v>
      </c>
      <c r="Z27" s="48" t="n">
        <f aca="false">IF($A27="","",COUNTIF($S27:$Y27,"X")+IF($R27="X",1,0))</f>
        <v>0</v>
      </c>
      <c r="AA27" s="21" t="str">
        <f aca="false">IF($A27="","",IF($Q27=0,"자세명 확인",IF($Z27=0,"PASS","FAIL")))</f>
        <v>PASS</v>
      </c>
    </row>
    <row r="28" customFormat="false" ht="15" hidden="false" customHeight="false" outlineLevel="0" collapsed="false">
      <c r="A28" s="43" t="s">
        <v>406</v>
      </c>
      <c r="B28" s="43" t="s">
        <v>212</v>
      </c>
      <c r="C28" s="43" t="s">
        <v>30</v>
      </c>
      <c r="D28" s="44" t="n">
        <v>2</v>
      </c>
      <c r="E28" s="44" t="n">
        <v>1244</v>
      </c>
      <c r="F28" s="44" t="n">
        <v>20</v>
      </c>
      <c r="G28" s="44" t="n">
        <v>62.2</v>
      </c>
      <c r="H28" s="45" t="n">
        <v>11272</v>
      </c>
      <c r="I28" s="45" t="n">
        <v>0</v>
      </c>
      <c r="J28" s="46" t="n">
        <v>19.4</v>
      </c>
      <c r="K28" s="46" t="n">
        <v>51.9</v>
      </c>
      <c r="L28" s="46"/>
      <c r="M28" s="46"/>
      <c r="N28" s="44" t="n">
        <v>0</v>
      </c>
      <c r="O28" s="46" t="n">
        <v>2.2</v>
      </c>
      <c r="P28" s="47" t="n">
        <v>0</v>
      </c>
      <c r="Q28" s="23" t="n">
        <f aca="false">IF($A28="","",IFERROR(MATCH($C28,'합격 기준 수치표'!$B$6:$B$13,0),0))</f>
        <v>3</v>
      </c>
      <c r="R28" s="23" t="str">
        <f aca="false">IF($A28="","",IF(AND(E28&gt;='합격 기준 수치표'!$D$17,F28&gt;='합격 기준 수치표'!$D$18,F28&lt;='합격 기준 수치표'!$D$19,G28&gt;='합격 기준 수치표'!$D$20,G28&lt;='합격 기준 수치표'!$D$21,P28&lt;='합격 기준 수치표'!$D$23,OR(H28&lt;='합격 기준 수치표'!$D$24,O28="",O28&lt;='합격 기준 수치표'!$D$22)),"OK","X"))</f>
        <v>OK</v>
      </c>
      <c r="S28" s="23" t="str">
        <f aca="false">IF($A28="","",IF($Q28=0,"?",IF(AND(INDEX('합격 기준 수치표'!$D$6:$D$13,$Q28)="",INDEX('합격 기준 수치표'!$E$6:$E$13,$Q28)=""),"-",IF(H28="","N/A",IF(OR(AND(INDEX('합격 기준 수치표'!$D$6:$D$13,$Q28)&lt;&gt;"",H28&lt;INDEX('합격 기준 수치표'!$D$6:$D$13,$Q28)),AND(INDEX('합격 기준 수치표'!$E$6:$E$13,$Q28)&lt;&gt;"",H28&gt;INDEX('합격 기준 수치표'!$E$6:$E$13,$Q28))),"X","OK")))))</f>
        <v>OK</v>
      </c>
      <c r="T28" s="23" t="str">
        <f aca="false">IF($A28="","",IF($Q28=0,"?",IF(AND(INDEX('합격 기준 수치표'!$F$6:$F$13,$Q28)="",INDEX('합격 기준 수치표'!$G$6:$G$13,$Q28)=""),"-",IF(I28="","N/A",IF(OR(AND(INDEX('합격 기준 수치표'!$F$6:$F$13,$Q28)&lt;&gt;"",I28&lt;INDEX('합격 기준 수치표'!$F$6:$F$13,$Q28)),AND(INDEX('합격 기준 수치표'!$G$6:$G$13,$Q28)&lt;&gt;"",I28&gt;INDEX('합격 기준 수치표'!$G$6:$G$13,$Q28))),"X","OK")))))</f>
        <v>OK</v>
      </c>
      <c r="U28" s="23" t="str">
        <f aca="false">IF($A28="","",IF($Q28=0,"?",IF(AND(INDEX('합격 기준 수치표'!$H$6:$H$13,$Q28)="",INDEX('합격 기준 수치표'!$I$6:$I$13,$Q28)=""),"-",IF(J28="","N/A",IF(OR(AND(INDEX('합격 기준 수치표'!$H$6:$H$13,$Q28)&lt;&gt;"",J28&lt;INDEX('합격 기준 수치표'!$H$6:$H$13,$Q28)),AND(INDEX('합격 기준 수치표'!$I$6:$I$13,$Q28)&lt;&gt;"",J28&gt;INDEX('합격 기준 수치표'!$I$6:$I$13,$Q28))),"X","OK")))))</f>
        <v>OK</v>
      </c>
      <c r="V28" s="23" t="str">
        <f aca="false">IF($A28="","",IF($Q28=0,"?",IF(AND(INDEX('합격 기준 수치표'!$J$6:$J$13,$Q28)="",INDEX('합격 기준 수치표'!$K$6:$K$13,$Q28)=""),"-",IF(K28="","N/A",IF(OR(AND(INDEX('합격 기준 수치표'!$J$6:$J$13,$Q28)&lt;&gt;"",K28&lt;INDEX('합격 기준 수치표'!$J$6:$J$13,$Q28)),AND(INDEX('합격 기준 수치표'!$K$6:$K$13,$Q28)&lt;&gt;"",K28&gt;INDEX('합격 기준 수치표'!$K$6:$K$13,$Q28))),"X","OK")))))</f>
        <v>OK</v>
      </c>
      <c r="W28" s="23" t="str">
        <f aca="false">IF($A28="","",IF($Q28=0,"?",IF(AND(INDEX('합격 기준 수치표'!$L$6:$L$13,$Q28)="",INDEX('합격 기준 수치표'!$M$6:$M$13,$Q28)=""),"-",IF(L28="","N/A",IF(OR(AND(INDEX('합격 기준 수치표'!$L$6:$L$13,$Q28)&lt;&gt;"",L28&lt;INDEX('합격 기준 수치표'!$L$6:$L$13,$Q28)),AND(INDEX('합격 기준 수치표'!$M$6:$M$13,$Q28)&lt;&gt;"",L28&gt;INDEX('합격 기준 수치표'!$M$6:$M$13,$Q28))),"X","OK")))))</f>
        <v>-</v>
      </c>
      <c r="X28" s="23" t="str">
        <f aca="false">IF($A28="","",IF($Q28=0,"?",IF(AND(INDEX('합격 기준 수치표'!$N$6:$N$13,$Q28)="",INDEX('합격 기준 수치표'!$O$6:$O$13,$Q28)=""),"-",IF(M28="","N/A",IF(OR(AND(INDEX('합격 기준 수치표'!$N$6:$N$13,$Q28)&lt;&gt;"",M28&lt;INDEX('합격 기준 수치표'!$N$6:$N$13,$Q28)),AND(INDEX('합격 기준 수치표'!$O$6:$O$13,$Q28)&lt;&gt;"",M28&gt;INDEX('합격 기준 수치표'!$O$6:$O$13,$Q28))),"X","OK")))))</f>
        <v>-</v>
      </c>
      <c r="Y28" s="23" t="str">
        <f aca="false">IF($A28="","",IF($Q28=0,"?",IF(AND(INDEX('합격 기준 수치표'!$P$6:$P$13,$Q28)="",INDEX('합격 기준 수치표'!$Q$6:$Q$13,$Q28)=""),"-",IF(N28="","N/A",IF(OR(AND(INDEX('합격 기준 수치표'!$P$6:$P$13,$Q28)&lt;&gt;"",N28&lt;INDEX('합격 기준 수치표'!$P$6:$P$13,$Q28)),AND(INDEX('합격 기준 수치표'!$Q$6:$Q$13,$Q28)&lt;&gt;"",N28&gt;INDEX('합격 기준 수치표'!$Q$6:$Q$13,$Q28))),"X","OK")))))</f>
        <v>-</v>
      </c>
      <c r="Z28" s="48" t="n">
        <f aca="false">IF($A28="","",COUNTIF($S28:$Y28,"X")+IF($R28="X",1,0))</f>
        <v>0</v>
      </c>
      <c r="AA28" s="21" t="str">
        <f aca="false">IF($A28="","",IF($Q28=0,"자세명 확인",IF($Z28=0,"PASS","FAIL")))</f>
        <v>PASS</v>
      </c>
    </row>
    <row r="29" customFormat="false" ht="15" hidden="false" customHeight="false" outlineLevel="0" collapsed="false">
      <c r="A29" s="43" t="s">
        <v>407</v>
      </c>
      <c r="B29" s="43" t="s">
        <v>212</v>
      </c>
      <c r="C29" s="43" t="s">
        <v>49</v>
      </c>
      <c r="D29" s="44" t="n">
        <v>1</v>
      </c>
      <c r="E29" s="44" t="n">
        <v>1245</v>
      </c>
      <c r="F29" s="44" t="n">
        <v>20</v>
      </c>
      <c r="G29" s="44" t="n">
        <v>62.3</v>
      </c>
      <c r="H29" s="45" t="n">
        <v>10836</v>
      </c>
      <c r="I29" s="45" t="n">
        <v>3656</v>
      </c>
      <c r="J29" s="46" t="n">
        <v>29</v>
      </c>
      <c r="K29" s="46" t="n">
        <v>55</v>
      </c>
      <c r="L29" s="46" t="n">
        <v>4.4</v>
      </c>
      <c r="M29" s="46" t="n">
        <v>27.3</v>
      </c>
      <c r="N29" s="44" t="n">
        <v>10</v>
      </c>
      <c r="O29" s="46" t="n">
        <v>2.7</v>
      </c>
      <c r="P29" s="47" t="n">
        <v>0</v>
      </c>
      <c r="Q29" s="23" t="n">
        <f aca="false">IF($A29="","",IFERROR(MATCH($C29,'합격 기준 수치표'!$B$6:$B$13,0),0))</f>
        <v>7</v>
      </c>
      <c r="R29" s="23" t="str">
        <f aca="false">IF($A29="","",IF(AND(E29&gt;='합격 기준 수치표'!$D$17,F29&gt;='합격 기준 수치표'!$D$18,F29&lt;='합격 기준 수치표'!$D$19,G29&gt;='합격 기준 수치표'!$D$20,G29&lt;='합격 기준 수치표'!$D$21,P29&lt;='합격 기준 수치표'!$D$23,OR(H29&lt;='합격 기준 수치표'!$D$24,O29="",O29&lt;='합격 기준 수치표'!$D$22)),"OK","X"))</f>
        <v>OK</v>
      </c>
      <c r="S29" s="23" t="str">
        <f aca="false">IF($A29="","",IF($Q29=0,"?",IF(AND(INDEX('합격 기준 수치표'!$D$6:$D$13,$Q29)="",INDEX('합격 기준 수치표'!$E$6:$E$13,$Q29)=""),"-",IF(H29="","N/A",IF(OR(AND(INDEX('합격 기준 수치표'!$D$6:$D$13,$Q29)&lt;&gt;"",H29&lt;INDEX('합격 기준 수치표'!$D$6:$D$13,$Q29)),AND(INDEX('합격 기준 수치표'!$E$6:$E$13,$Q29)&lt;&gt;"",H29&gt;INDEX('합격 기준 수치표'!$E$6:$E$13,$Q29))),"X","OK")))))</f>
        <v>OK</v>
      </c>
      <c r="T29" s="23" t="str">
        <f aca="false">IF($A29="","",IF($Q29=0,"?",IF(AND(INDEX('합격 기준 수치표'!$F$6:$F$13,$Q29)="",INDEX('합격 기준 수치표'!$G$6:$G$13,$Q29)=""),"-",IF(I29="","N/A",IF(OR(AND(INDEX('합격 기준 수치표'!$F$6:$F$13,$Q29)&lt;&gt;"",I29&lt;INDEX('합격 기준 수치표'!$F$6:$F$13,$Q29)),AND(INDEX('합격 기준 수치표'!$G$6:$G$13,$Q29)&lt;&gt;"",I29&gt;INDEX('합격 기준 수치표'!$G$6:$G$13,$Q29))),"X","OK")))))</f>
        <v>OK</v>
      </c>
      <c r="U29" s="23" t="str">
        <f aca="false">IF($A29="","",IF($Q29=0,"?",IF(AND(INDEX('합격 기준 수치표'!$H$6:$H$13,$Q29)="",INDEX('합격 기준 수치표'!$I$6:$I$13,$Q29)=""),"-",IF(J29="","N/A",IF(OR(AND(INDEX('합격 기준 수치표'!$H$6:$H$13,$Q29)&lt;&gt;"",J29&lt;INDEX('합격 기준 수치표'!$H$6:$H$13,$Q29)),AND(INDEX('합격 기준 수치표'!$I$6:$I$13,$Q29)&lt;&gt;"",J29&gt;INDEX('합격 기준 수치표'!$I$6:$I$13,$Q29))),"X","OK")))))</f>
        <v>-</v>
      </c>
      <c r="V29" s="23" t="str">
        <f aca="false">IF($A29="","",IF($Q29=0,"?",IF(AND(INDEX('합격 기준 수치표'!$J$6:$J$13,$Q29)="",INDEX('합격 기준 수치표'!$K$6:$K$13,$Q29)=""),"-",IF(K29="","N/A",IF(OR(AND(INDEX('합격 기준 수치표'!$J$6:$J$13,$Q29)&lt;&gt;"",K29&lt;INDEX('합격 기준 수치표'!$J$6:$J$13,$Q29)),AND(INDEX('합격 기준 수치표'!$K$6:$K$13,$Q29)&lt;&gt;"",K29&gt;INDEX('합격 기준 수치표'!$K$6:$K$13,$Q29))),"X","OK")))))</f>
        <v>-</v>
      </c>
      <c r="W29" s="23" t="str">
        <f aca="false">IF($A29="","",IF($Q29=0,"?",IF(AND(INDEX('합격 기준 수치표'!$L$6:$L$13,$Q29)="",INDEX('합격 기준 수치표'!$M$6:$M$13,$Q29)=""),"-",IF(L29="","N/A",IF(OR(AND(INDEX('합격 기준 수치표'!$L$6:$L$13,$Q29)&lt;&gt;"",L29&lt;INDEX('합격 기준 수치표'!$L$6:$L$13,$Q29)),AND(INDEX('합격 기준 수치표'!$M$6:$M$13,$Q29)&lt;&gt;"",L29&gt;INDEX('합격 기준 수치표'!$M$6:$M$13,$Q29))),"X","OK")))))</f>
        <v>OK</v>
      </c>
      <c r="X29" s="23" t="str">
        <f aca="false">IF($A29="","",IF($Q29=0,"?",IF(AND(INDEX('합격 기준 수치표'!$N$6:$N$13,$Q29)="",INDEX('합격 기준 수치표'!$O$6:$O$13,$Q29)=""),"-",IF(M29="","N/A",IF(OR(AND(INDEX('합격 기준 수치표'!$N$6:$N$13,$Q29)&lt;&gt;"",M29&lt;INDEX('합격 기준 수치표'!$N$6:$N$13,$Q29)),AND(INDEX('합격 기준 수치표'!$O$6:$O$13,$Q29)&lt;&gt;"",M29&gt;INDEX('합격 기준 수치표'!$O$6:$O$13,$Q29))),"X","OK")))))</f>
        <v>-</v>
      </c>
      <c r="Y29" s="23" t="str">
        <f aca="false">IF($A29="","",IF($Q29=0,"?",IF(AND(INDEX('합격 기준 수치표'!$P$6:$P$13,$Q29)="",INDEX('합격 기준 수치표'!$Q$6:$Q$13,$Q29)=""),"-",IF(N29="","N/A",IF(OR(AND(INDEX('합격 기준 수치표'!$P$6:$P$13,$Q29)&lt;&gt;"",N29&lt;INDEX('합격 기준 수치표'!$P$6:$P$13,$Q29)),AND(INDEX('합격 기준 수치표'!$Q$6:$Q$13,$Q29)&lt;&gt;"",N29&gt;INDEX('합격 기준 수치표'!$Q$6:$Q$13,$Q29))),"X","OK")))))</f>
        <v>OK</v>
      </c>
      <c r="Z29" s="48" t="n">
        <f aca="false">IF($A29="","",COUNTIF($S29:$Y29,"X")+IF($R29="X",1,0))</f>
        <v>0</v>
      </c>
      <c r="AA29" s="21" t="str">
        <f aca="false">IF($A29="","",IF($Q29=0,"자세명 확인",IF($Z29=0,"PASS","FAIL")))</f>
        <v>PASS</v>
      </c>
    </row>
    <row r="30" customFormat="false" ht="15" hidden="false" customHeight="false" outlineLevel="0" collapsed="false">
      <c r="A30" s="43" t="s">
        <v>408</v>
      </c>
      <c r="B30" s="43" t="s">
        <v>212</v>
      </c>
      <c r="C30" s="43" t="s">
        <v>44</v>
      </c>
      <c r="D30" s="44" t="n">
        <v>2</v>
      </c>
      <c r="E30" s="44" t="n">
        <v>1245</v>
      </c>
      <c r="F30" s="44" t="n">
        <v>20</v>
      </c>
      <c r="G30" s="44" t="n">
        <v>62.3</v>
      </c>
      <c r="H30" s="45" t="n">
        <v>11511</v>
      </c>
      <c r="I30" s="45" t="n">
        <v>2803</v>
      </c>
      <c r="J30" s="46" t="n">
        <v>29.6</v>
      </c>
      <c r="K30" s="46" t="n">
        <v>56.2</v>
      </c>
      <c r="L30" s="46" t="n">
        <v>99.9</v>
      </c>
      <c r="M30" s="46" t="n">
        <v>22</v>
      </c>
      <c r="N30" s="44" t="n">
        <v>10</v>
      </c>
      <c r="O30" s="46" t="n">
        <v>4.5</v>
      </c>
      <c r="P30" s="47" t="n">
        <v>0</v>
      </c>
      <c r="Q30" s="23" t="n">
        <f aca="false">IF($A30="","",IFERROR(MATCH($C30,'합격 기준 수치표'!$B$6:$B$13,0),0))</f>
        <v>6</v>
      </c>
      <c r="R30" s="23" t="str">
        <f aca="false">IF($A30="","",IF(AND(E30&gt;='합격 기준 수치표'!$D$17,F30&gt;='합격 기준 수치표'!$D$18,F30&lt;='합격 기준 수치표'!$D$19,G30&gt;='합격 기준 수치표'!$D$20,G30&lt;='합격 기준 수치표'!$D$21,P30&lt;='합격 기준 수치표'!$D$23,OR(H30&lt;='합격 기준 수치표'!$D$24,O30="",O30&lt;='합격 기준 수치표'!$D$22)),"OK","X"))</f>
        <v>OK</v>
      </c>
      <c r="S30" s="23" t="str">
        <f aca="false">IF($A30="","",IF($Q30=0,"?",IF(AND(INDEX('합격 기준 수치표'!$D$6:$D$13,$Q30)="",INDEX('합격 기준 수치표'!$E$6:$E$13,$Q30)=""),"-",IF(H30="","N/A",IF(OR(AND(INDEX('합격 기준 수치표'!$D$6:$D$13,$Q30)&lt;&gt;"",H30&lt;INDEX('합격 기준 수치표'!$D$6:$D$13,$Q30)),AND(INDEX('합격 기준 수치표'!$E$6:$E$13,$Q30)&lt;&gt;"",H30&gt;INDEX('합격 기준 수치표'!$E$6:$E$13,$Q30))),"X","OK")))))</f>
        <v>OK</v>
      </c>
      <c r="T30" s="23" t="str">
        <f aca="false">IF($A30="","",IF($Q30=0,"?",IF(AND(INDEX('합격 기준 수치표'!$F$6:$F$13,$Q30)="",INDEX('합격 기준 수치표'!$G$6:$G$13,$Q30)=""),"-",IF(I30="","N/A",IF(OR(AND(INDEX('합격 기준 수치표'!$F$6:$F$13,$Q30)&lt;&gt;"",I30&lt;INDEX('합격 기준 수치표'!$F$6:$F$13,$Q30)),AND(INDEX('합격 기준 수치표'!$G$6:$G$13,$Q30)&lt;&gt;"",I30&gt;INDEX('합격 기준 수치표'!$G$6:$G$13,$Q30))),"X","OK")))))</f>
        <v>OK</v>
      </c>
      <c r="U30" s="23" t="str">
        <f aca="false">IF($A30="","",IF($Q30=0,"?",IF(AND(INDEX('합격 기준 수치표'!$H$6:$H$13,$Q30)="",INDEX('합격 기준 수치표'!$I$6:$I$13,$Q30)=""),"-",IF(J30="","N/A",IF(OR(AND(INDEX('합격 기준 수치표'!$H$6:$H$13,$Q30)&lt;&gt;"",J30&lt;INDEX('합격 기준 수치표'!$H$6:$H$13,$Q30)),AND(INDEX('합격 기준 수치표'!$I$6:$I$13,$Q30)&lt;&gt;"",J30&gt;INDEX('합격 기준 수치표'!$I$6:$I$13,$Q30))),"X","OK")))))</f>
        <v>-</v>
      </c>
      <c r="V30" s="23" t="str">
        <f aca="false">IF($A30="","",IF($Q30=0,"?",IF(AND(INDEX('합격 기준 수치표'!$J$6:$J$13,$Q30)="",INDEX('합격 기준 수치표'!$K$6:$K$13,$Q30)=""),"-",IF(K30="","N/A",IF(OR(AND(INDEX('합격 기준 수치표'!$J$6:$J$13,$Q30)&lt;&gt;"",K30&lt;INDEX('합격 기준 수치표'!$J$6:$J$13,$Q30)),AND(INDEX('합격 기준 수치표'!$K$6:$K$13,$Q30)&lt;&gt;"",K30&gt;INDEX('합격 기준 수치표'!$K$6:$K$13,$Q30))),"X","OK")))))</f>
        <v>OK</v>
      </c>
      <c r="W30" s="23" t="str">
        <f aca="false">IF($A30="","",IF($Q30=0,"?",IF(AND(INDEX('합격 기준 수치표'!$L$6:$L$13,$Q30)="",INDEX('합격 기준 수치표'!$M$6:$M$13,$Q30)=""),"-",IF(L30="","N/A",IF(OR(AND(INDEX('합격 기준 수치표'!$L$6:$L$13,$Q30)&lt;&gt;"",L30&lt;INDEX('합격 기준 수치표'!$L$6:$L$13,$Q30)),AND(INDEX('합격 기준 수치표'!$M$6:$M$13,$Q30)&lt;&gt;"",L30&gt;INDEX('합격 기준 수치표'!$M$6:$M$13,$Q30))),"X","OK")))))</f>
        <v>OK</v>
      </c>
      <c r="X30" s="23" t="str">
        <f aca="false">IF($A30="","",IF($Q30=0,"?",IF(AND(INDEX('합격 기준 수치표'!$N$6:$N$13,$Q30)="",INDEX('합격 기준 수치표'!$O$6:$O$13,$Q30)=""),"-",IF(M30="","N/A",IF(OR(AND(INDEX('합격 기준 수치표'!$N$6:$N$13,$Q30)&lt;&gt;"",M30&lt;INDEX('합격 기준 수치표'!$N$6:$N$13,$Q30)),AND(INDEX('합격 기준 수치표'!$O$6:$O$13,$Q30)&lt;&gt;"",M30&gt;INDEX('합격 기준 수치표'!$O$6:$O$13,$Q30))),"X","OK")))))</f>
        <v>-</v>
      </c>
      <c r="Y30" s="23" t="str">
        <f aca="false">IF($A30="","",IF($Q30=0,"?",IF(AND(INDEX('합격 기준 수치표'!$P$6:$P$13,$Q30)="",INDEX('합격 기준 수치표'!$Q$6:$Q$13,$Q30)=""),"-",IF(N30="","N/A",IF(OR(AND(INDEX('합격 기준 수치표'!$P$6:$P$13,$Q30)&lt;&gt;"",N30&lt;INDEX('합격 기준 수치표'!$P$6:$P$13,$Q30)),AND(INDEX('합격 기준 수치표'!$Q$6:$Q$13,$Q30)&lt;&gt;"",N30&gt;INDEX('합격 기준 수치표'!$Q$6:$Q$13,$Q30))),"X","OK")))))</f>
        <v>OK</v>
      </c>
      <c r="Z30" s="48" t="n">
        <f aca="false">IF($A30="","",COUNTIF($S30:$Y30,"X")+IF($R30="X",1,0))</f>
        <v>0</v>
      </c>
      <c r="AA30" s="21" t="str">
        <f aca="false">IF($A30="","",IF($Q30=0,"자세명 확인",IF($Z30=0,"PASS","FAIL")))</f>
        <v>PASS</v>
      </c>
    </row>
    <row r="31" customFormat="false" ht="15" hidden="false" customHeight="false" outlineLevel="0" collapsed="false">
      <c r="A31" s="43" t="s">
        <v>409</v>
      </c>
      <c r="B31" s="43" t="s">
        <v>212</v>
      </c>
      <c r="C31" s="43" t="s">
        <v>21</v>
      </c>
      <c r="D31" s="44" t="n">
        <v>1</v>
      </c>
      <c r="E31" s="44" t="n">
        <v>1245</v>
      </c>
      <c r="F31" s="44" t="n">
        <v>20</v>
      </c>
      <c r="G31" s="44" t="n">
        <v>62.3</v>
      </c>
      <c r="H31" s="45" t="n">
        <v>0</v>
      </c>
      <c r="I31" s="45" t="n">
        <v>0</v>
      </c>
      <c r="J31" s="46"/>
      <c r="K31" s="46"/>
      <c r="L31" s="46"/>
      <c r="M31" s="46"/>
      <c r="N31" s="44" t="n">
        <v>0</v>
      </c>
      <c r="O31" s="46"/>
      <c r="P31" s="47" t="n">
        <v>0</v>
      </c>
      <c r="Q31" s="23" t="n">
        <f aca="false">IF($A31="","",IFERROR(MATCH($C31,'합격 기준 수치표'!$B$6:$B$13,0),0))</f>
        <v>1</v>
      </c>
      <c r="R31" s="23" t="str">
        <f aca="false">IF($A31="","",IF(AND(E31&gt;='합격 기준 수치표'!$D$17,F31&gt;='합격 기준 수치표'!$D$18,F31&lt;='합격 기준 수치표'!$D$19,G31&gt;='합격 기준 수치표'!$D$20,G31&lt;='합격 기준 수치표'!$D$21,P31&lt;='합격 기준 수치표'!$D$23,OR(H31&lt;='합격 기준 수치표'!$D$24,O31="",O31&lt;='합격 기준 수치표'!$D$22)),"OK","X"))</f>
        <v>OK</v>
      </c>
      <c r="S31" s="23" t="str">
        <f aca="false">IF($A31="","",IF($Q31=0,"?",IF(AND(INDEX('합격 기준 수치표'!$D$6:$D$13,$Q31)="",INDEX('합격 기준 수치표'!$E$6:$E$13,$Q31)=""),"-",IF(H31="","N/A",IF(OR(AND(INDEX('합격 기준 수치표'!$D$6:$D$13,$Q31)&lt;&gt;"",H31&lt;INDEX('합격 기준 수치표'!$D$6:$D$13,$Q31)),AND(INDEX('합격 기준 수치표'!$E$6:$E$13,$Q31)&lt;&gt;"",H31&gt;INDEX('합격 기준 수치표'!$E$6:$E$13,$Q31))),"X","OK")))))</f>
        <v>OK</v>
      </c>
      <c r="T31" s="23" t="str">
        <f aca="false">IF($A31="","",IF($Q31=0,"?",IF(AND(INDEX('합격 기준 수치표'!$F$6:$F$13,$Q31)="",INDEX('합격 기준 수치표'!$G$6:$G$13,$Q31)=""),"-",IF(I31="","N/A",IF(OR(AND(INDEX('합격 기준 수치표'!$F$6:$F$13,$Q31)&lt;&gt;"",I31&lt;INDEX('합격 기준 수치표'!$F$6:$F$13,$Q31)),AND(INDEX('합격 기준 수치표'!$G$6:$G$13,$Q31)&lt;&gt;"",I31&gt;INDEX('합격 기준 수치표'!$G$6:$G$13,$Q31))),"X","OK")))))</f>
        <v>OK</v>
      </c>
      <c r="U31" s="23" t="str">
        <f aca="false">IF($A31="","",IF($Q31=0,"?",IF(AND(INDEX('합격 기준 수치표'!$H$6:$H$13,$Q31)="",INDEX('합격 기준 수치표'!$I$6:$I$13,$Q31)=""),"-",IF(J31="","N/A",IF(OR(AND(INDEX('합격 기준 수치표'!$H$6:$H$13,$Q31)&lt;&gt;"",J31&lt;INDEX('합격 기준 수치표'!$H$6:$H$13,$Q31)),AND(INDEX('합격 기준 수치표'!$I$6:$I$13,$Q31)&lt;&gt;"",J31&gt;INDEX('합격 기준 수치표'!$I$6:$I$13,$Q31))),"X","OK")))))</f>
        <v>-</v>
      </c>
      <c r="V31" s="23" t="str">
        <f aca="false">IF($A31="","",IF($Q31=0,"?",IF(AND(INDEX('합격 기준 수치표'!$J$6:$J$13,$Q31)="",INDEX('합격 기준 수치표'!$K$6:$K$13,$Q31)=""),"-",IF(K31="","N/A",IF(OR(AND(INDEX('합격 기준 수치표'!$J$6:$J$13,$Q31)&lt;&gt;"",K31&lt;INDEX('합격 기준 수치표'!$J$6:$J$13,$Q31)),AND(INDEX('합격 기준 수치표'!$K$6:$K$13,$Q31)&lt;&gt;"",K31&gt;INDEX('합격 기준 수치표'!$K$6:$K$13,$Q31))),"X","OK")))))</f>
        <v>-</v>
      </c>
      <c r="W31" s="23" t="str">
        <f aca="false">IF($A31="","",IF($Q31=0,"?",IF(AND(INDEX('합격 기준 수치표'!$L$6:$L$13,$Q31)="",INDEX('합격 기준 수치표'!$M$6:$M$13,$Q31)=""),"-",IF(L31="","N/A",IF(OR(AND(INDEX('합격 기준 수치표'!$L$6:$L$13,$Q31)&lt;&gt;"",L31&lt;INDEX('합격 기준 수치표'!$L$6:$L$13,$Q31)),AND(INDEX('합격 기준 수치표'!$M$6:$M$13,$Q31)&lt;&gt;"",L31&gt;INDEX('합격 기준 수치표'!$M$6:$M$13,$Q31))),"X","OK")))))</f>
        <v>-</v>
      </c>
      <c r="X31" s="23" t="str">
        <f aca="false">IF($A31="","",IF($Q31=0,"?",IF(AND(INDEX('합격 기준 수치표'!$N$6:$N$13,$Q31)="",INDEX('합격 기준 수치표'!$O$6:$O$13,$Q31)=""),"-",IF(M31="","N/A",IF(OR(AND(INDEX('합격 기준 수치표'!$N$6:$N$13,$Q31)&lt;&gt;"",M31&lt;INDEX('합격 기준 수치표'!$N$6:$N$13,$Q31)),AND(INDEX('합격 기준 수치표'!$O$6:$O$13,$Q31)&lt;&gt;"",M31&gt;INDEX('합격 기준 수치표'!$O$6:$O$13,$Q31))),"X","OK")))))</f>
        <v>-</v>
      </c>
      <c r="Y31" s="23" t="str">
        <f aca="false">IF($A31="","",IF($Q31=0,"?",IF(AND(INDEX('합격 기준 수치표'!$P$6:$P$13,$Q31)="",INDEX('합격 기준 수치표'!$Q$6:$Q$13,$Q31)=""),"-",IF(N31="","N/A",IF(OR(AND(INDEX('합격 기준 수치표'!$P$6:$P$13,$Q31)&lt;&gt;"",N31&lt;INDEX('합격 기준 수치표'!$P$6:$P$13,$Q31)),AND(INDEX('합격 기준 수치표'!$Q$6:$Q$13,$Q31)&lt;&gt;"",N31&gt;INDEX('합격 기준 수치표'!$Q$6:$Q$13,$Q31))),"X","OK")))))</f>
        <v>-</v>
      </c>
      <c r="Z31" s="48" t="n">
        <f aca="false">IF($A31="","",COUNTIF($S31:$Y31,"X")+IF($R31="X",1,0))</f>
        <v>0</v>
      </c>
      <c r="AA31" s="21" t="str">
        <f aca="false">IF($A31="","",IF($Q31=0,"자세명 확인",IF($Z31=0,"PASS","FAIL")))</f>
        <v>PASS</v>
      </c>
    </row>
    <row r="32" customFormat="false" ht="15" hidden="false" customHeight="false" outlineLevel="0" collapsed="false">
      <c r="A32" s="43" t="s">
        <v>410</v>
      </c>
      <c r="B32" s="43" t="s">
        <v>212</v>
      </c>
      <c r="C32" s="43" t="s">
        <v>25</v>
      </c>
      <c r="D32" s="44" t="n">
        <v>1</v>
      </c>
      <c r="E32" s="44" t="n">
        <v>1246</v>
      </c>
      <c r="F32" s="44" t="n">
        <v>20</v>
      </c>
      <c r="G32" s="44" t="n">
        <v>62.3</v>
      </c>
      <c r="H32" s="45" t="n">
        <v>14021</v>
      </c>
      <c r="I32" s="45" t="n">
        <v>3144</v>
      </c>
      <c r="J32" s="46" t="n">
        <v>32.7</v>
      </c>
      <c r="K32" s="46" t="n">
        <v>55.5</v>
      </c>
      <c r="L32" s="46" t="n">
        <v>63.9</v>
      </c>
      <c r="M32" s="46" t="n">
        <v>1.4</v>
      </c>
      <c r="N32" s="44" t="n">
        <v>15</v>
      </c>
      <c r="O32" s="46" t="n">
        <v>4.3</v>
      </c>
      <c r="P32" s="47" t="n">
        <v>0.018</v>
      </c>
      <c r="Q32" s="23" t="n">
        <f aca="false">IF($A32="","",IFERROR(MATCH($C32,'합격 기준 수치표'!$B$6:$B$13,0),0))</f>
        <v>2</v>
      </c>
      <c r="R32" s="23" t="str">
        <f aca="false">IF($A32="","",IF(AND(E32&gt;='합격 기준 수치표'!$D$17,F32&gt;='합격 기준 수치표'!$D$18,F32&lt;='합격 기준 수치표'!$D$19,G32&gt;='합격 기준 수치표'!$D$20,G32&lt;='합격 기준 수치표'!$D$21,P32&lt;='합격 기준 수치표'!$D$23,OR(H32&lt;='합격 기준 수치표'!$D$24,O32="",O32&lt;='합격 기준 수치표'!$D$22)),"OK","X"))</f>
        <v>OK</v>
      </c>
      <c r="S32" s="23" t="str">
        <f aca="false">IF($A32="","",IF($Q32=0,"?",IF(AND(INDEX('합격 기준 수치표'!$D$6:$D$13,$Q32)="",INDEX('합격 기준 수치표'!$E$6:$E$13,$Q32)=""),"-",IF(H32="","N/A",IF(OR(AND(INDEX('합격 기준 수치표'!$D$6:$D$13,$Q32)&lt;&gt;"",H32&lt;INDEX('합격 기준 수치표'!$D$6:$D$13,$Q32)),AND(INDEX('합격 기준 수치표'!$E$6:$E$13,$Q32)&lt;&gt;"",H32&gt;INDEX('합격 기준 수치표'!$E$6:$E$13,$Q32))),"X","OK")))))</f>
        <v>OK</v>
      </c>
      <c r="T32" s="23" t="str">
        <f aca="false">IF($A32="","",IF($Q32=0,"?",IF(AND(INDEX('합격 기준 수치표'!$F$6:$F$13,$Q32)="",INDEX('합격 기준 수치표'!$G$6:$G$13,$Q32)=""),"-",IF(I32="","N/A",IF(OR(AND(INDEX('합격 기준 수치표'!$F$6:$F$13,$Q32)&lt;&gt;"",I32&lt;INDEX('합격 기준 수치표'!$F$6:$F$13,$Q32)),AND(INDEX('합격 기준 수치표'!$G$6:$G$13,$Q32)&lt;&gt;"",I32&gt;INDEX('합격 기준 수치표'!$G$6:$G$13,$Q32))),"X","OK")))))</f>
        <v>OK</v>
      </c>
      <c r="U32" s="23" t="str">
        <f aca="false">IF($A32="","",IF($Q32=0,"?",IF(AND(INDEX('합격 기준 수치표'!$H$6:$H$13,$Q32)="",INDEX('합격 기준 수치표'!$I$6:$I$13,$Q32)=""),"-",IF(J32="","N/A",IF(OR(AND(INDEX('합격 기준 수치표'!$H$6:$H$13,$Q32)&lt;&gt;"",J32&lt;INDEX('합격 기준 수치표'!$H$6:$H$13,$Q32)),AND(INDEX('합격 기준 수치표'!$I$6:$I$13,$Q32)&lt;&gt;"",J32&gt;INDEX('합격 기준 수치표'!$I$6:$I$13,$Q32))),"X","OK")))))</f>
        <v>-</v>
      </c>
      <c r="V32" s="23" t="str">
        <f aca="false">IF($A32="","",IF($Q32=0,"?",IF(AND(INDEX('합격 기준 수치표'!$J$6:$J$13,$Q32)="",INDEX('합격 기준 수치표'!$K$6:$K$13,$Q32)=""),"-",IF(K32="","N/A",IF(OR(AND(INDEX('합격 기준 수치표'!$J$6:$J$13,$Q32)&lt;&gt;"",K32&lt;INDEX('합격 기준 수치표'!$J$6:$J$13,$Q32)),AND(INDEX('합격 기준 수치표'!$K$6:$K$13,$Q32)&lt;&gt;"",K32&gt;INDEX('합격 기준 수치표'!$K$6:$K$13,$Q32))),"X","OK")))))</f>
        <v>OK</v>
      </c>
      <c r="W32" s="23" t="str">
        <f aca="false">IF($A32="","",IF($Q32=0,"?",IF(AND(INDEX('합격 기준 수치표'!$L$6:$L$13,$Q32)="",INDEX('합격 기준 수치표'!$M$6:$M$13,$Q32)=""),"-",IF(L32="","N/A",IF(OR(AND(INDEX('합격 기준 수치표'!$L$6:$L$13,$Q32)&lt;&gt;"",L32&lt;INDEX('합격 기준 수치표'!$L$6:$L$13,$Q32)),AND(INDEX('합격 기준 수치표'!$M$6:$M$13,$Q32)&lt;&gt;"",L32&gt;INDEX('합격 기준 수치표'!$M$6:$M$13,$Q32))),"X","OK")))))</f>
        <v>-</v>
      </c>
      <c r="X32" s="23" t="str">
        <f aca="false">IF($A32="","",IF($Q32=0,"?",IF(AND(INDEX('합격 기준 수치표'!$N$6:$N$13,$Q32)="",INDEX('합격 기준 수치표'!$O$6:$O$13,$Q32)=""),"-",IF(M32="","N/A",IF(OR(AND(INDEX('합격 기준 수치표'!$N$6:$N$13,$Q32)&lt;&gt;"",M32&lt;INDEX('합격 기준 수치표'!$N$6:$N$13,$Q32)),AND(INDEX('합격 기준 수치표'!$O$6:$O$13,$Q32)&lt;&gt;"",M32&gt;INDEX('합격 기준 수치표'!$O$6:$O$13,$Q32))),"X","OK")))))</f>
        <v>-</v>
      </c>
      <c r="Y32" s="23" t="str">
        <f aca="false">IF($A32="","",IF($Q32=0,"?",IF(AND(INDEX('합격 기준 수치표'!$P$6:$P$13,$Q32)="",INDEX('합격 기준 수치표'!$Q$6:$Q$13,$Q32)=""),"-",IF(N32="","N/A",IF(OR(AND(INDEX('합격 기준 수치표'!$P$6:$P$13,$Q32)&lt;&gt;"",N32&lt;INDEX('합격 기준 수치표'!$P$6:$P$13,$Q32)),AND(INDEX('합격 기준 수치표'!$Q$6:$Q$13,$Q32)&lt;&gt;"",N32&gt;INDEX('합격 기준 수치표'!$Q$6:$Q$13,$Q32))),"X","OK")))))</f>
        <v>OK</v>
      </c>
      <c r="Z32" s="48" t="n">
        <f aca="false">IF($A32="","",COUNTIF($S32:$Y32,"X")+IF($R32="X",1,0))</f>
        <v>0</v>
      </c>
      <c r="AA32" s="21" t="str">
        <f aca="false">IF($A32="","",IF($Q32=0,"자세명 확인",IF($Z32=0,"PASS","FAIL")))</f>
        <v>PASS</v>
      </c>
    </row>
    <row r="33" customFormat="false" ht="15" hidden="false" customHeight="false" outlineLevel="0" collapsed="false">
      <c r="A33" s="43" t="s">
        <v>411</v>
      </c>
      <c r="B33" s="43" t="s">
        <v>212</v>
      </c>
      <c r="C33" s="43" t="s">
        <v>54</v>
      </c>
      <c r="D33" s="44" t="n">
        <v>1</v>
      </c>
      <c r="E33" s="44" t="n">
        <v>1246</v>
      </c>
      <c r="F33" s="44" t="n">
        <v>20</v>
      </c>
      <c r="G33" s="44" t="n">
        <v>62.3</v>
      </c>
      <c r="H33" s="45" t="n">
        <v>12124</v>
      </c>
      <c r="I33" s="45" t="n">
        <v>1250</v>
      </c>
      <c r="J33" s="46" t="n">
        <v>32.1</v>
      </c>
      <c r="K33" s="46" t="n">
        <v>55.7</v>
      </c>
      <c r="L33" s="46" t="n">
        <v>100</v>
      </c>
      <c r="M33" s="46" t="n">
        <v>0.4</v>
      </c>
      <c r="N33" s="44" t="n">
        <v>6</v>
      </c>
      <c r="O33" s="46" t="n">
        <v>3.6</v>
      </c>
      <c r="P33" s="47" t="n">
        <v>0</v>
      </c>
      <c r="Q33" s="23" t="n">
        <f aca="false">IF($A33="","",IFERROR(MATCH($C33,'합격 기준 수치표'!$B$6:$B$13,0),0))</f>
        <v>8</v>
      </c>
      <c r="R33" s="23" t="str">
        <f aca="false">IF($A33="","",IF(AND(E33&gt;='합격 기준 수치표'!$D$17,F33&gt;='합격 기준 수치표'!$D$18,F33&lt;='합격 기준 수치표'!$D$19,G33&gt;='합격 기준 수치표'!$D$20,G33&lt;='합격 기준 수치표'!$D$21,P33&lt;='합격 기준 수치표'!$D$23,OR(H33&lt;='합격 기준 수치표'!$D$24,O33="",O33&lt;='합격 기준 수치표'!$D$22)),"OK","X"))</f>
        <v>OK</v>
      </c>
      <c r="S33" s="23" t="str">
        <f aca="false">IF($A33="","",IF($Q33=0,"?",IF(AND(INDEX('합격 기준 수치표'!$D$6:$D$13,$Q33)="",INDEX('합격 기준 수치표'!$E$6:$E$13,$Q33)=""),"-",IF(H33="","N/A",IF(OR(AND(INDEX('합격 기준 수치표'!$D$6:$D$13,$Q33)&lt;&gt;"",H33&lt;INDEX('합격 기준 수치표'!$D$6:$D$13,$Q33)),AND(INDEX('합격 기준 수치표'!$E$6:$E$13,$Q33)&lt;&gt;"",H33&gt;INDEX('합격 기준 수치표'!$E$6:$E$13,$Q33))),"X","OK")))))</f>
        <v>OK</v>
      </c>
      <c r="T33" s="23" t="str">
        <f aca="false">IF($A33="","",IF($Q33=0,"?",IF(AND(INDEX('합격 기준 수치표'!$F$6:$F$13,$Q33)="",INDEX('합격 기준 수치표'!$G$6:$G$13,$Q33)=""),"-",IF(I33="","N/A",IF(OR(AND(INDEX('합격 기준 수치표'!$F$6:$F$13,$Q33)&lt;&gt;"",I33&lt;INDEX('합격 기준 수치표'!$F$6:$F$13,$Q33)),AND(INDEX('합격 기준 수치표'!$G$6:$G$13,$Q33)&lt;&gt;"",I33&gt;INDEX('합격 기준 수치표'!$G$6:$G$13,$Q33))),"X","OK")))))</f>
        <v>OK</v>
      </c>
      <c r="U33" s="23" t="str">
        <f aca="false">IF($A33="","",IF($Q33=0,"?",IF(AND(INDEX('합격 기준 수치표'!$H$6:$H$13,$Q33)="",INDEX('합격 기준 수치표'!$I$6:$I$13,$Q33)=""),"-",IF(J33="","N/A",IF(OR(AND(INDEX('합격 기준 수치표'!$H$6:$H$13,$Q33)&lt;&gt;"",J33&lt;INDEX('합격 기준 수치표'!$H$6:$H$13,$Q33)),AND(INDEX('합격 기준 수치표'!$I$6:$I$13,$Q33)&lt;&gt;"",J33&gt;INDEX('합격 기준 수치표'!$I$6:$I$13,$Q33))),"X","OK")))))</f>
        <v>-</v>
      </c>
      <c r="V33" s="23" t="str">
        <f aca="false">IF($A33="","",IF($Q33=0,"?",IF(AND(INDEX('합격 기준 수치표'!$J$6:$J$13,$Q33)="",INDEX('합격 기준 수치표'!$K$6:$K$13,$Q33)=""),"-",IF(K33="","N/A",IF(OR(AND(INDEX('합격 기준 수치표'!$J$6:$J$13,$Q33)&lt;&gt;"",K33&lt;INDEX('합격 기준 수치표'!$J$6:$J$13,$Q33)),AND(INDEX('합격 기준 수치표'!$K$6:$K$13,$Q33)&lt;&gt;"",K33&gt;INDEX('합격 기준 수치표'!$K$6:$K$13,$Q33))),"X","OK")))))</f>
        <v>OK</v>
      </c>
      <c r="W33" s="23" t="str">
        <f aca="false">IF($A33="","",IF($Q33=0,"?",IF(AND(INDEX('합격 기준 수치표'!$L$6:$L$13,$Q33)="",INDEX('합격 기준 수치표'!$M$6:$M$13,$Q33)=""),"-",IF(L33="","N/A",IF(OR(AND(INDEX('합격 기준 수치표'!$L$6:$L$13,$Q33)&lt;&gt;"",L33&lt;INDEX('합격 기준 수치표'!$L$6:$L$13,$Q33)),AND(INDEX('합격 기준 수치표'!$M$6:$M$13,$Q33)&lt;&gt;"",L33&gt;INDEX('합격 기준 수치표'!$M$6:$M$13,$Q33))),"X","OK")))))</f>
        <v>-</v>
      </c>
      <c r="X33" s="23" t="str">
        <f aca="false">IF($A33="","",IF($Q33=0,"?",IF(AND(INDEX('합격 기준 수치표'!$N$6:$N$13,$Q33)="",INDEX('합격 기준 수치표'!$O$6:$O$13,$Q33)=""),"-",IF(M33="","N/A",IF(OR(AND(INDEX('합격 기준 수치표'!$N$6:$N$13,$Q33)&lt;&gt;"",M33&lt;INDEX('합격 기준 수치표'!$N$6:$N$13,$Q33)),AND(INDEX('합격 기준 수치표'!$O$6:$O$13,$Q33)&lt;&gt;"",M33&gt;INDEX('합격 기준 수치표'!$O$6:$O$13,$Q33))),"X","OK")))))</f>
        <v>OK</v>
      </c>
      <c r="Y33" s="23" t="str">
        <f aca="false">IF($A33="","",IF($Q33=0,"?",IF(AND(INDEX('합격 기준 수치표'!$P$6:$P$13,$Q33)="",INDEX('합격 기준 수치표'!$Q$6:$Q$13,$Q33)=""),"-",IF(N33="","N/A",IF(OR(AND(INDEX('합격 기준 수치표'!$P$6:$P$13,$Q33)&lt;&gt;"",N33&lt;INDEX('합격 기준 수치표'!$P$6:$P$13,$Q33)),AND(INDEX('합격 기준 수치표'!$Q$6:$Q$13,$Q33)&lt;&gt;"",N33&gt;INDEX('합격 기준 수치표'!$Q$6:$Q$13,$Q33))),"X","OK")))))</f>
        <v>OK</v>
      </c>
      <c r="Z33" s="48" t="n">
        <f aca="false">IF($A33="","",COUNTIF($S33:$Y33,"X")+IF($R33="X",1,0))</f>
        <v>0</v>
      </c>
      <c r="AA33" s="21" t="str">
        <f aca="false">IF($A33="","",IF($Q33=0,"자세명 확인",IF($Z33=0,"PASS","FAIL")))</f>
        <v>PASS</v>
      </c>
    </row>
    <row r="34" customFormat="false" ht="15" hidden="false" customHeight="false" outlineLevel="0" collapsed="false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23" t="str">
        <f aca="false">IF($A34="","",IFERROR(MATCH($C34,'합격 기준 수치표'!$B$6:$B$13,0),0))</f>
        <v/>
      </c>
      <c r="R34" s="23" t="str">
        <f aca="false">IF($A34="","",IF(AND(E34&gt;='합격 기준 수치표'!$D$17,F34&gt;='합격 기준 수치표'!$D$18,F34&lt;='합격 기준 수치표'!$D$19,G34&gt;='합격 기준 수치표'!$D$20,G34&lt;='합격 기준 수치표'!$D$21,P34&lt;='합격 기준 수치표'!$D$23,OR(H34&lt;='합격 기준 수치표'!$D$24,O34="",O34&lt;='합격 기준 수치표'!$D$22)),"OK","X"))</f>
        <v/>
      </c>
      <c r="S34" s="23" t="str">
        <f aca="false">IF($A34="","",IF($Q34=0,"?",IF(AND(INDEX('합격 기준 수치표'!$D$6:$D$13,$Q34)="",INDEX('합격 기준 수치표'!$E$6:$E$13,$Q34)=""),"-",IF(H34="","N/A",IF(OR(AND(INDEX('합격 기준 수치표'!$D$6:$D$13,$Q34)&lt;&gt;"",H34&lt;INDEX('합격 기준 수치표'!$D$6:$D$13,$Q34)),AND(INDEX('합격 기준 수치표'!$E$6:$E$13,$Q34)&lt;&gt;"",H34&gt;INDEX('합격 기준 수치표'!$E$6:$E$13,$Q34))),"X","OK")))))</f>
        <v/>
      </c>
      <c r="T34" s="23" t="str">
        <f aca="false">IF($A34="","",IF($Q34=0,"?",IF(AND(INDEX('합격 기준 수치표'!$F$6:$F$13,$Q34)="",INDEX('합격 기준 수치표'!$G$6:$G$13,$Q34)=""),"-",IF(I34="","N/A",IF(OR(AND(INDEX('합격 기준 수치표'!$F$6:$F$13,$Q34)&lt;&gt;"",I34&lt;INDEX('합격 기준 수치표'!$F$6:$F$13,$Q34)),AND(INDEX('합격 기준 수치표'!$G$6:$G$13,$Q34)&lt;&gt;"",I34&gt;INDEX('합격 기준 수치표'!$G$6:$G$13,$Q34))),"X","OK")))))</f>
        <v/>
      </c>
      <c r="U34" s="23" t="str">
        <f aca="false">IF($A34="","",IF($Q34=0,"?",IF(AND(INDEX('합격 기준 수치표'!$H$6:$H$13,$Q34)="",INDEX('합격 기준 수치표'!$I$6:$I$13,$Q34)=""),"-",IF(J34="","N/A",IF(OR(AND(INDEX('합격 기준 수치표'!$H$6:$H$13,$Q34)&lt;&gt;"",J34&lt;INDEX('합격 기준 수치표'!$H$6:$H$13,$Q34)),AND(INDEX('합격 기준 수치표'!$I$6:$I$13,$Q34)&lt;&gt;"",J34&gt;INDEX('합격 기준 수치표'!$I$6:$I$13,$Q34))),"X","OK")))))</f>
        <v/>
      </c>
      <c r="V34" s="23" t="str">
        <f aca="false">IF($A34="","",IF($Q34=0,"?",IF(AND(INDEX('합격 기준 수치표'!$J$6:$J$13,$Q34)="",INDEX('합격 기준 수치표'!$K$6:$K$13,$Q34)=""),"-",IF(K34="","N/A",IF(OR(AND(INDEX('합격 기준 수치표'!$J$6:$J$13,$Q34)&lt;&gt;"",K34&lt;INDEX('합격 기준 수치표'!$J$6:$J$13,$Q34)),AND(INDEX('합격 기준 수치표'!$K$6:$K$13,$Q34)&lt;&gt;"",K34&gt;INDEX('합격 기준 수치표'!$K$6:$K$13,$Q34))),"X","OK")))))</f>
        <v/>
      </c>
      <c r="W34" s="23" t="str">
        <f aca="false">IF($A34="","",IF($Q34=0,"?",IF(AND(INDEX('합격 기준 수치표'!$L$6:$L$13,$Q34)="",INDEX('합격 기준 수치표'!$M$6:$M$13,$Q34)=""),"-",IF(L34="","N/A",IF(OR(AND(INDEX('합격 기준 수치표'!$L$6:$L$13,$Q34)&lt;&gt;"",L34&lt;INDEX('합격 기준 수치표'!$L$6:$L$13,$Q34)),AND(INDEX('합격 기준 수치표'!$M$6:$M$13,$Q34)&lt;&gt;"",L34&gt;INDEX('합격 기준 수치표'!$M$6:$M$13,$Q34))),"X","OK")))))</f>
        <v/>
      </c>
      <c r="X34" s="23" t="str">
        <f aca="false">IF($A34="","",IF($Q34=0,"?",IF(AND(INDEX('합격 기준 수치표'!$N$6:$N$13,$Q34)="",INDEX('합격 기준 수치표'!$O$6:$O$13,$Q34)=""),"-",IF(M34="","N/A",IF(OR(AND(INDEX('합격 기준 수치표'!$N$6:$N$13,$Q34)&lt;&gt;"",M34&lt;INDEX('합격 기준 수치표'!$N$6:$N$13,$Q34)),AND(INDEX('합격 기준 수치표'!$O$6:$O$13,$Q34)&lt;&gt;"",M34&gt;INDEX('합격 기준 수치표'!$O$6:$O$13,$Q34))),"X","OK")))))</f>
        <v/>
      </c>
      <c r="Y34" s="23" t="str">
        <f aca="false">IF($A34="","",IF($Q34=0,"?",IF(AND(INDEX('합격 기준 수치표'!$P$6:$P$13,$Q34)="",INDEX('합격 기준 수치표'!$Q$6:$Q$13,$Q34)=""),"-",IF(N34="","N/A",IF(OR(AND(INDEX('합격 기준 수치표'!$P$6:$P$13,$Q34)&lt;&gt;"",N34&lt;INDEX('합격 기준 수치표'!$P$6:$P$13,$Q34)),AND(INDEX('합격 기준 수치표'!$Q$6:$Q$13,$Q34)&lt;&gt;"",N34&gt;INDEX('합격 기준 수치표'!$Q$6:$Q$13,$Q34))),"X","OK")))))</f>
        <v/>
      </c>
      <c r="Z34" s="48" t="str">
        <f aca="false">IF($A34="","",COUNTIF($S34:$Y34,"X")+IF($R34="X",1,0))</f>
        <v/>
      </c>
      <c r="AA34" s="21" t="str">
        <f aca="false">IF($A34="","",IF($Q34=0,"자세명 확인",IF($Z34=0,"PASS","FAIL")))</f>
        <v/>
      </c>
    </row>
    <row r="35" customFormat="false" ht="15" hidden="false" customHeight="false" outlineLevel="0" collapsed="false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23" t="str">
        <f aca="false">IF($A35="","",IFERROR(MATCH($C35,'합격 기준 수치표'!$B$6:$B$13,0),0))</f>
        <v/>
      </c>
      <c r="R35" s="23" t="str">
        <f aca="false">IF($A35="","",IF(AND(E35&gt;='합격 기준 수치표'!$D$17,F35&gt;='합격 기준 수치표'!$D$18,F35&lt;='합격 기준 수치표'!$D$19,G35&gt;='합격 기준 수치표'!$D$20,G35&lt;='합격 기준 수치표'!$D$21,P35&lt;='합격 기준 수치표'!$D$23,OR(H35&lt;='합격 기준 수치표'!$D$24,O35="",O35&lt;='합격 기준 수치표'!$D$22)),"OK","X"))</f>
        <v/>
      </c>
      <c r="S35" s="23" t="str">
        <f aca="false">IF($A35="","",IF($Q35=0,"?",IF(AND(INDEX('합격 기준 수치표'!$D$6:$D$13,$Q35)="",INDEX('합격 기준 수치표'!$E$6:$E$13,$Q35)=""),"-",IF(H35="","N/A",IF(OR(AND(INDEX('합격 기준 수치표'!$D$6:$D$13,$Q35)&lt;&gt;"",H35&lt;INDEX('합격 기준 수치표'!$D$6:$D$13,$Q35)),AND(INDEX('합격 기준 수치표'!$E$6:$E$13,$Q35)&lt;&gt;"",H35&gt;INDEX('합격 기준 수치표'!$E$6:$E$13,$Q35))),"X","OK")))))</f>
        <v/>
      </c>
      <c r="T35" s="23" t="str">
        <f aca="false">IF($A35="","",IF($Q35=0,"?",IF(AND(INDEX('합격 기준 수치표'!$F$6:$F$13,$Q35)="",INDEX('합격 기준 수치표'!$G$6:$G$13,$Q35)=""),"-",IF(I35="","N/A",IF(OR(AND(INDEX('합격 기준 수치표'!$F$6:$F$13,$Q35)&lt;&gt;"",I35&lt;INDEX('합격 기준 수치표'!$F$6:$F$13,$Q35)),AND(INDEX('합격 기준 수치표'!$G$6:$G$13,$Q35)&lt;&gt;"",I35&gt;INDEX('합격 기준 수치표'!$G$6:$G$13,$Q35))),"X","OK")))))</f>
        <v/>
      </c>
      <c r="U35" s="23" t="str">
        <f aca="false">IF($A35="","",IF($Q35=0,"?",IF(AND(INDEX('합격 기준 수치표'!$H$6:$H$13,$Q35)="",INDEX('합격 기준 수치표'!$I$6:$I$13,$Q35)=""),"-",IF(J35="","N/A",IF(OR(AND(INDEX('합격 기준 수치표'!$H$6:$H$13,$Q35)&lt;&gt;"",J35&lt;INDEX('합격 기준 수치표'!$H$6:$H$13,$Q35)),AND(INDEX('합격 기준 수치표'!$I$6:$I$13,$Q35)&lt;&gt;"",J35&gt;INDEX('합격 기준 수치표'!$I$6:$I$13,$Q35))),"X","OK")))))</f>
        <v/>
      </c>
      <c r="V35" s="23" t="str">
        <f aca="false">IF($A35="","",IF($Q35=0,"?",IF(AND(INDEX('합격 기준 수치표'!$J$6:$J$13,$Q35)="",INDEX('합격 기준 수치표'!$K$6:$K$13,$Q35)=""),"-",IF(K35="","N/A",IF(OR(AND(INDEX('합격 기준 수치표'!$J$6:$J$13,$Q35)&lt;&gt;"",K35&lt;INDEX('합격 기준 수치표'!$J$6:$J$13,$Q35)),AND(INDEX('합격 기준 수치표'!$K$6:$K$13,$Q35)&lt;&gt;"",K35&gt;INDEX('합격 기준 수치표'!$K$6:$K$13,$Q35))),"X","OK")))))</f>
        <v/>
      </c>
      <c r="W35" s="23" t="str">
        <f aca="false">IF($A35="","",IF($Q35=0,"?",IF(AND(INDEX('합격 기준 수치표'!$L$6:$L$13,$Q35)="",INDEX('합격 기준 수치표'!$M$6:$M$13,$Q35)=""),"-",IF(L35="","N/A",IF(OR(AND(INDEX('합격 기준 수치표'!$L$6:$L$13,$Q35)&lt;&gt;"",L35&lt;INDEX('합격 기준 수치표'!$L$6:$L$13,$Q35)),AND(INDEX('합격 기준 수치표'!$M$6:$M$13,$Q35)&lt;&gt;"",L35&gt;INDEX('합격 기준 수치표'!$M$6:$M$13,$Q35))),"X","OK")))))</f>
        <v/>
      </c>
      <c r="X35" s="23" t="str">
        <f aca="false">IF($A35="","",IF($Q35=0,"?",IF(AND(INDEX('합격 기준 수치표'!$N$6:$N$13,$Q35)="",INDEX('합격 기준 수치표'!$O$6:$O$13,$Q35)=""),"-",IF(M35="","N/A",IF(OR(AND(INDEX('합격 기준 수치표'!$N$6:$N$13,$Q35)&lt;&gt;"",M35&lt;INDEX('합격 기준 수치표'!$N$6:$N$13,$Q35)),AND(INDEX('합격 기준 수치표'!$O$6:$O$13,$Q35)&lt;&gt;"",M35&gt;INDEX('합격 기준 수치표'!$O$6:$O$13,$Q35))),"X","OK")))))</f>
        <v/>
      </c>
      <c r="Y35" s="23" t="str">
        <f aca="false">IF($A35="","",IF($Q35=0,"?",IF(AND(INDEX('합격 기준 수치표'!$P$6:$P$13,$Q35)="",INDEX('합격 기준 수치표'!$Q$6:$Q$13,$Q35)=""),"-",IF(N35="","N/A",IF(OR(AND(INDEX('합격 기준 수치표'!$P$6:$P$13,$Q35)&lt;&gt;"",N35&lt;INDEX('합격 기준 수치표'!$P$6:$P$13,$Q35)),AND(INDEX('합격 기준 수치표'!$Q$6:$Q$13,$Q35)&lt;&gt;"",N35&gt;INDEX('합격 기준 수치표'!$Q$6:$Q$13,$Q35))),"X","OK")))))</f>
        <v/>
      </c>
      <c r="Z35" s="48" t="str">
        <f aca="false">IF($A35="","",COUNTIF($S35:$Y35,"X")+IF($R35="X",1,0))</f>
        <v/>
      </c>
      <c r="AA35" s="21" t="str">
        <f aca="false">IF($A35="","",IF($Q35=0,"자세명 확인",IF($Z35=0,"PASS","FAIL")))</f>
        <v/>
      </c>
    </row>
    <row r="36" customFormat="false" ht="15" hidden="false" customHeight="false" outlineLevel="0" collapsed="false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23" t="str">
        <f aca="false">IF($A36="","",IFERROR(MATCH($C36,'합격 기준 수치표'!$B$6:$B$13,0),0))</f>
        <v/>
      </c>
      <c r="R36" s="23" t="str">
        <f aca="false">IF($A36="","",IF(AND(E36&gt;='합격 기준 수치표'!$D$17,F36&gt;='합격 기준 수치표'!$D$18,F36&lt;='합격 기준 수치표'!$D$19,G36&gt;='합격 기준 수치표'!$D$20,G36&lt;='합격 기준 수치표'!$D$21,P36&lt;='합격 기준 수치표'!$D$23,OR(H36&lt;='합격 기준 수치표'!$D$24,O36="",O36&lt;='합격 기준 수치표'!$D$22)),"OK","X"))</f>
        <v/>
      </c>
      <c r="S36" s="23" t="str">
        <f aca="false">IF($A36="","",IF($Q36=0,"?",IF(AND(INDEX('합격 기준 수치표'!$D$6:$D$13,$Q36)="",INDEX('합격 기준 수치표'!$E$6:$E$13,$Q36)=""),"-",IF(H36="","N/A",IF(OR(AND(INDEX('합격 기준 수치표'!$D$6:$D$13,$Q36)&lt;&gt;"",H36&lt;INDEX('합격 기준 수치표'!$D$6:$D$13,$Q36)),AND(INDEX('합격 기준 수치표'!$E$6:$E$13,$Q36)&lt;&gt;"",H36&gt;INDEX('합격 기준 수치표'!$E$6:$E$13,$Q36))),"X","OK")))))</f>
        <v/>
      </c>
      <c r="T36" s="23" t="str">
        <f aca="false">IF($A36="","",IF($Q36=0,"?",IF(AND(INDEX('합격 기준 수치표'!$F$6:$F$13,$Q36)="",INDEX('합격 기준 수치표'!$G$6:$G$13,$Q36)=""),"-",IF(I36="","N/A",IF(OR(AND(INDEX('합격 기준 수치표'!$F$6:$F$13,$Q36)&lt;&gt;"",I36&lt;INDEX('합격 기준 수치표'!$F$6:$F$13,$Q36)),AND(INDEX('합격 기준 수치표'!$G$6:$G$13,$Q36)&lt;&gt;"",I36&gt;INDEX('합격 기준 수치표'!$G$6:$G$13,$Q36))),"X","OK")))))</f>
        <v/>
      </c>
      <c r="U36" s="23" t="str">
        <f aca="false">IF($A36="","",IF($Q36=0,"?",IF(AND(INDEX('합격 기준 수치표'!$H$6:$H$13,$Q36)="",INDEX('합격 기준 수치표'!$I$6:$I$13,$Q36)=""),"-",IF(J36="","N/A",IF(OR(AND(INDEX('합격 기준 수치표'!$H$6:$H$13,$Q36)&lt;&gt;"",J36&lt;INDEX('합격 기준 수치표'!$H$6:$H$13,$Q36)),AND(INDEX('합격 기준 수치표'!$I$6:$I$13,$Q36)&lt;&gt;"",J36&gt;INDEX('합격 기준 수치표'!$I$6:$I$13,$Q36))),"X","OK")))))</f>
        <v/>
      </c>
      <c r="V36" s="23" t="str">
        <f aca="false">IF($A36="","",IF($Q36=0,"?",IF(AND(INDEX('합격 기준 수치표'!$J$6:$J$13,$Q36)="",INDEX('합격 기준 수치표'!$K$6:$K$13,$Q36)=""),"-",IF(K36="","N/A",IF(OR(AND(INDEX('합격 기준 수치표'!$J$6:$J$13,$Q36)&lt;&gt;"",K36&lt;INDEX('합격 기준 수치표'!$J$6:$J$13,$Q36)),AND(INDEX('합격 기준 수치표'!$K$6:$K$13,$Q36)&lt;&gt;"",K36&gt;INDEX('합격 기준 수치표'!$K$6:$K$13,$Q36))),"X","OK")))))</f>
        <v/>
      </c>
      <c r="W36" s="23" t="str">
        <f aca="false">IF($A36="","",IF($Q36=0,"?",IF(AND(INDEX('합격 기준 수치표'!$L$6:$L$13,$Q36)="",INDEX('합격 기준 수치표'!$M$6:$M$13,$Q36)=""),"-",IF(L36="","N/A",IF(OR(AND(INDEX('합격 기준 수치표'!$L$6:$L$13,$Q36)&lt;&gt;"",L36&lt;INDEX('합격 기준 수치표'!$L$6:$L$13,$Q36)),AND(INDEX('합격 기준 수치표'!$M$6:$M$13,$Q36)&lt;&gt;"",L36&gt;INDEX('합격 기준 수치표'!$M$6:$M$13,$Q36))),"X","OK")))))</f>
        <v/>
      </c>
      <c r="X36" s="23" t="str">
        <f aca="false">IF($A36="","",IF($Q36=0,"?",IF(AND(INDEX('합격 기준 수치표'!$N$6:$N$13,$Q36)="",INDEX('합격 기준 수치표'!$O$6:$O$13,$Q36)=""),"-",IF(M36="","N/A",IF(OR(AND(INDEX('합격 기준 수치표'!$N$6:$N$13,$Q36)&lt;&gt;"",M36&lt;INDEX('합격 기준 수치표'!$N$6:$N$13,$Q36)),AND(INDEX('합격 기준 수치표'!$O$6:$O$13,$Q36)&lt;&gt;"",M36&gt;INDEX('합격 기준 수치표'!$O$6:$O$13,$Q36))),"X","OK")))))</f>
        <v/>
      </c>
      <c r="Y36" s="23" t="str">
        <f aca="false">IF($A36="","",IF($Q36=0,"?",IF(AND(INDEX('합격 기준 수치표'!$P$6:$P$13,$Q36)="",INDEX('합격 기준 수치표'!$Q$6:$Q$13,$Q36)=""),"-",IF(N36="","N/A",IF(OR(AND(INDEX('합격 기준 수치표'!$P$6:$P$13,$Q36)&lt;&gt;"",N36&lt;INDEX('합격 기준 수치표'!$P$6:$P$13,$Q36)),AND(INDEX('합격 기준 수치표'!$Q$6:$Q$13,$Q36)&lt;&gt;"",N36&gt;INDEX('합격 기준 수치표'!$Q$6:$Q$13,$Q36))),"X","OK")))))</f>
        <v/>
      </c>
      <c r="Z36" s="48" t="str">
        <f aca="false">IF($A36="","",COUNTIF($S36:$Y36,"X")+IF($R36="X",1,0))</f>
        <v/>
      </c>
      <c r="AA36" s="21" t="str">
        <f aca="false">IF($A36="","",IF($Q36=0,"자세명 확인",IF($Z36=0,"PASS","FAIL")))</f>
        <v/>
      </c>
    </row>
    <row r="37" customFormat="false" ht="15" hidden="false" customHeight="false" outlineLevel="0" collapsed="false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23" t="str">
        <f aca="false">IF($A37="","",IFERROR(MATCH($C37,'합격 기준 수치표'!$B$6:$B$13,0),0))</f>
        <v/>
      </c>
      <c r="R37" s="23" t="str">
        <f aca="false">IF($A37="","",IF(AND(E37&gt;='합격 기준 수치표'!$D$17,F37&gt;='합격 기준 수치표'!$D$18,F37&lt;='합격 기준 수치표'!$D$19,G37&gt;='합격 기준 수치표'!$D$20,G37&lt;='합격 기준 수치표'!$D$21,P37&lt;='합격 기준 수치표'!$D$23,OR(H37&lt;='합격 기준 수치표'!$D$24,O37="",O37&lt;='합격 기준 수치표'!$D$22)),"OK","X"))</f>
        <v/>
      </c>
      <c r="S37" s="23" t="str">
        <f aca="false">IF($A37="","",IF($Q37=0,"?",IF(AND(INDEX('합격 기준 수치표'!$D$6:$D$13,$Q37)="",INDEX('합격 기준 수치표'!$E$6:$E$13,$Q37)=""),"-",IF(H37="","N/A",IF(OR(AND(INDEX('합격 기준 수치표'!$D$6:$D$13,$Q37)&lt;&gt;"",H37&lt;INDEX('합격 기준 수치표'!$D$6:$D$13,$Q37)),AND(INDEX('합격 기준 수치표'!$E$6:$E$13,$Q37)&lt;&gt;"",H37&gt;INDEX('합격 기준 수치표'!$E$6:$E$13,$Q37))),"X","OK")))))</f>
        <v/>
      </c>
      <c r="T37" s="23" t="str">
        <f aca="false">IF($A37="","",IF($Q37=0,"?",IF(AND(INDEX('합격 기준 수치표'!$F$6:$F$13,$Q37)="",INDEX('합격 기준 수치표'!$G$6:$G$13,$Q37)=""),"-",IF(I37="","N/A",IF(OR(AND(INDEX('합격 기준 수치표'!$F$6:$F$13,$Q37)&lt;&gt;"",I37&lt;INDEX('합격 기준 수치표'!$F$6:$F$13,$Q37)),AND(INDEX('합격 기준 수치표'!$G$6:$G$13,$Q37)&lt;&gt;"",I37&gt;INDEX('합격 기준 수치표'!$G$6:$G$13,$Q37))),"X","OK")))))</f>
        <v/>
      </c>
      <c r="U37" s="23" t="str">
        <f aca="false">IF($A37="","",IF($Q37=0,"?",IF(AND(INDEX('합격 기준 수치표'!$H$6:$H$13,$Q37)="",INDEX('합격 기준 수치표'!$I$6:$I$13,$Q37)=""),"-",IF(J37="","N/A",IF(OR(AND(INDEX('합격 기준 수치표'!$H$6:$H$13,$Q37)&lt;&gt;"",J37&lt;INDEX('합격 기준 수치표'!$H$6:$H$13,$Q37)),AND(INDEX('합격 기준 수치표'!$I$6:$I$13,$Q37)&lt;&gt;"",J37&gt;INDEX('합격 기준 수치표'!$I$6:$I$13,$Q37))),"X","OK")))))</f>
        <v/>
      </c>
      <c r="V37" s="23" t="str">
        <f aca="false">IF($A37="","",IF($Q37=0,"?",IF(AND(INDEX('합격 기준 수치표'!$J$6:$J$13,$Q37)="",INDEX('합격 기준 수치표'!$K$6:$K$13,$Q37)=""),"-",IF(K37="","N/A",IF(OR(AND(INDEX('합격 기준 수치표'!$J$6:$J$13,$Q37)&lt;&gt;"",K37&lt;INDEX('합격 기준 수치표'!$J$6:$J$13,$Q37)),AND(INDEX('합격 기준 수치표'!$K$6:$K$13,$Q37)&lt;&gt;"",K37&gt;INDEX('합격 기준 수치표'!$K$6:$K$13,$Q37))),"X","OK")))))</f>
        <v/>
      </c>
      <c r="W37" s="23" t="str">
        <f aca="false">IF($A37="","",IF($Q37=0,"?",IF(AND(INDEX('합격 기준 수치표'!$L$6:$L$13,$Q37)="",INDEX('합격 기준 수치표'!$M$6:$M$13,$Q37)=""),"-",IF(L37="","N/A",IF(OR(AND(INDEX('합격 기준 수치표'!$L$6:$L$13,$Q37)&lt;&gt;"",L37&lt;INDEX('합격 기준 수치표'!$L$6:$L$13,$Q37)),AND(INDEX('합격 기준 수치표'!$M$6:$M$13,$Q37)&lt;&gt;"",L37&gt;INDEX('합격 기준 수치표'!$M$6:$M$13,$Q37))),"X","OK")))))</f>
        <v/>
      </c>
      <c r="X37" s="23" t="str">
        <f aca="false">IF($A37="","",IF($Q37=0,"?",IF(AND(INDEX('합격 기준 수치표'!$N$6:$N$13,$Q37)="",INDEX('합격 기준 수치표'!$O$6:$O$13,$Q37)=""),"-",IF(M37="","N/A",IF(OR(AND(INDEX('합격 기준 수치표'!$N$6:$N$13,$Q37)&lt;&gt;"",M37&lt;INDEX('합격 기준 수치표'!$N$6:$N$13,$Q37)),AND(INDEX('합격 기준 수치표'!$O$6:$O$13,$Q37)&lt;&gt;"",M37&gt;INDEX('합격 기준 수치표'!$O$6:$O$13,$Q37))),"X","OK")))))</f>
        <v/>
      </c>
      <c r="Y37" s="23" t="str">
        <f aca="false">IF($A37="","",IF($Q37=0,"?",IF(AND(INDEX('합격 기준 수치표'!$P$6:$P$13,$Q37)="",INDEX('합격 기준 수치표'!$Q$6:$Q$13,$Q37)=""),"-",IF(N37="","N/A",IF(OR(AND(INDEX('합격 기준 수치표'!$P$6:$P$13,$Q37)&lt;&gt;"",N37&lt;INDEX('합격 기준 수치표'!$P$6:$P$13,$Q37)),AND(INDEX('합격 기준 수치표'!$Q$6:$Q$13,$Q37)&lt;&gt;"",N37&gt;INDEX('합격 기준 수치표'!$Q$6:$Q$13,$Q37))),"X","OK")))))</f>
        <v/>
      </c>
      <c r="Z37" s="48" t="str">
        <f aca="false">IF($A37="","",COUNTIF($S37:$Y37,"X")+IF($R37="X",1,0))</f>
        <v/>
      </c>
      <c r="AA37" s="21" t="str">
        <f aca="false">IF($A37="","",IF($Q37=0,"자세명 확인",IF($Z37=0,"PASS","FAIL")))</f>
        <v/>
      </c>
    </row>
    <row r="38" customFormat="false" ht="15" hidden="false" customHeight="false" outlineLevel="0" collapsed="false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23" t="str">
        <f aca="false">IF($A38="","",IFERROR(MATCH($C38,'합격 기준 수치표'!$B$6:$B$13,0),0))</f>
        <v/>
      </c>
      <c r="R38" s="23" t="str">
        <f aca="false">IF($A38="","",IF(AND(E38&gt;='합격 기준 수치표'!$D$17,F38&gt;='합격 기준 수치표'!$D$18,F38&lt;='합격 기준 수치표'!$D$19,G38&gt;='합격 기준 수치표'!$D$20,G38&lt;='합격 기준 수치표'!$D$21,P38&lt;='합격 기준 수치표'!$D$23,OR(H38&lt;='합격 기준 수치표'!$D$24,O38="",O38&lt;='합격 기준 수치표'!$D$22)),"OK","X"))</f>
        <v/>
      </c>
      <c r="S38" s="23" t="str">
        <f aca="false">IF($A38="","",IF($Q38=0,"?",IF(AND(INDEX('합격 기준 수치표'!$D$6:$D$13,$Q38)="",INDEX('합격 기준 수치표'!$E$6:$E$13,$Q38)=""),"-",IF(H38="","N/A",IF(OR(AND(INDEX('합격 기준 수치표'!$D$6:$D$13,$Q38)&lt;&gt;"",H38&lt;INDEX('합격 기준 수치표'!$D$6:$D$13,$Q38)),AND(INDEX('합격 기준 수치표'!$E$6:$E$13,$Q38)&lt;&gt;"",H38&gt;INDEX('합격 기준 수치표'!$E$6:$E$13,$Q38))),"X","OK")))))</f>
        <v/>
      </c>
      <c r="T38" s="23" t="str">
        <f aca="false">IF($A38="","",IF($Q38=0,"?",IF(AND(INDEX('합격 기준 수치표'!$F$6:$F$13,$Q38)="",INDEX('합격 기준 수치표'!$G$6:$G$13,$Q38)=""),"-",IF(I38="","N/A",IF(OR(AND(INDEX('합격 기준 수치표'!$F$6:$F$13,$Q38)&lt;&gt;"",I38&lt;INDEX('합격 기준 수치표'!$F$6:$F$13,$Q38)),AND(INDEX('합격 기준 수치표'!$G$6:$G$13,$Q38)&lt;&gt;"",I38&gt;INDEX('합격 기준 수치표'!$G$6:$G$13,$Q38))),"X","OK")))))</f>
        <v/>
      </c>
      <c r="U38" s="23" t="str">
        <f aca="false">IF($A38="","",IF($Q38=0,"?",IF(AND(INDEX('합격 기준 수치표'!$H$6:$H$13,$Q38)="",INDEX('합격 기준 수치표'!$I$6:$I$13,$Q38)=""),"-",IF(J38="","N/A",IF(OR(AND(INDEX('합격 기준 수치표'!$H$6:$H$13,$Q38)&lt;&gt;"",J38&lt;INDEX('합격 기준 수치표'!$H$6:$H$13,$Q38)),AND(INDEX('합격 기준 수치표'!$I$6:$I$13,$Q38)&lt;&gt;"",J38&gt;INDEX('합격 기준 수치표'!$I$6:$I$13,$Q38))),"X","OK")))))</f>
        <v/>
      </c>
      <c r="V38" s="23" t="str">
        <f aca="false">IF($A38="","",IF($Q38=0,"?",IF(AND(INDEX('합격 기준 수치표'!$J$6:$J$13,$Q38)="",INDEX('합격 기준 수치표'!$K$6:$K$13,$Q38)=""),"-",IF(K38="","N/A",IF(OR(AND(INDEX('합격 기준 수치표'!$J$6:$J$13,$Q38)&lt;&gt;"",K38&lt;INDEX('합격 기준 수치표'!$J$6:$J$13,$Q38)),AND(INDEX('합격 기준 수치표'!$K$6:$K$13,$Q38)&lt;&gt;"",K38&gt;INDEX('합격 기준 수치표'!$K$6:$K$13,$Q38))),"X","OK")))))</f>
        <v/>
      </c>
      <c r="W38" s="23" t="str">
        <f aca="false">IF($A38="","",IF($Q38=0,"?",IF(AND(INDEX('합격 기준 수치표'!$L$6:$L$13,$Q38)="",INDEX('합격 기준 수치표'!$M$6:$M$13,$Q38)=""),"-",IF(L38="","N/A",IF(OR(AND(INDEX('합격 기준 수치표'!$L$6:$L$13,$Q38)&lt;&gt;"",L38&lt;INDEX('합격 기준 수치표'!$L$6:$L$13,$Q38)),AND(INDEX('합격 기준 수치표'!$M$6:$M$13,$Q38)&lt;&gt;"",L38&gt;INDEX('합격 기준 수치표'!$M$6:$M$13,$Q38))),"X","OK")))))</f>
        <v/>
      </c>
      <c r="X38" s="23" t="str">
        <f aca="false">IF($A38="","",IF($Q38=0,"?",IF(AND(INDEX('합격 기준 수치표'!$N$6:$N$13,$Q38)="",INDEX('합격 기준 수치표'!$O$6:$O$13,$Q38)=""),"-",IF(M38="","N/A",IF(OR(AND(INDEX('합격 기준 수치표'!$N$6:$N$13,$Q38)&lt;&gt;"",M38&lt;INDEX('합격 기준 수치표'!$N$6:$N$13,$Q38)),AND(INDEX('합격 기준 수치표'!$O$6:$O$13,$Q38)&lt;&gt;"",M38&gt;INDEX('합격 기준 수치표'!$O$6:$O$13,$Q38))),"X","OK")))))</f>
        <v/>
      </c>
      <c r="Y38" s="23" t="str">
        <f aca="false">IF($A38="","",IF($Q38=0,"?",IF(AND(INDEX('합격 기준 수치표'!$P$6:$P$13,$Q38)="",INDEX('합격 기준 수치표'!$Q$6:$Q$13,$Q38)=""),"-",IF(N38="","N/A",IF(OR(AND(INDEX('합격 기준 수치표'!$P$6:$P$13,$Q38)&lt;&gt;"",N38&lt;INDEX('합격 기준 수치표'!$P$6:$P$13,$Q38)),AND(INDEX('합격 기준 수치표'!$Q$6:$Q$13,$Q38)&lt;&gt;"",N38&gt;INDEX('합격 기준 수치표'!$Q$6:$Q$13,$Q38))),"X","OK")))))</f>
        <v/>
      </c>
      <c r="Z38" s="48" t="str">
        <f aca="false">IF($A38="","",COUNTIF($S38:$Y38,"X")+IF($R38="X",1,0))</f>
        <v/>
      </c>
      <c r="AA38" s="21" t="str">
        <f aca="false">IF($A38="","",IF($Q38=0,"자세명 확인",IF($Z38=0,"PASS","FAIL")))</f>
        <v/>
      </c>
    </row>
    <row r="39" customFormat="false" ht="15" hidden="false" customHeight="false" outlineLevel="0" collapsed="false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23" t="str">
        <f aca="false">IF($A39="","",IFERROR(MATCH($C39,'합격 기준 수치표'!$B$6:$B$13,0),0))</f>
        <v/>
      </c>
      <c r="R39" s="23" t="str">
        <f aca="false">IF($A39="","",IF(AND(E39&gt;='합격 기준 수치표'!$D$17,F39&gt;='합격 기준 수치표'!$D$18,F39&lt;='합격 기준 수치표'!$D$19,G39&gt;='합격 기준 수치표'!$D$20,G39&lt;='합격 기준 수치표'!$D$21,P39&lt;='합격 기준 수치표'!$D$23,OR(H39&lt;='합격 기준 수치표'!$D$24,O39="",O39&lt;='합격 기준 수치표'!$D$22)),"OK","X"))</f>
        <v/>
      </c>
      <c r="S39" s="23" t="str">
        <f aca="false">IF($A39="","",IF($Q39=0,"?",IF(AND(INDEX('합격 기준 수치표'!$D$6:$D$13,$Q39)="",INDEX('합격 기준 수치표'!$E$6:$E$13,$Q39)=""),"-",IF(H39="","N/A",IF(OR(AND(INDEX('합격 기준 수치표'!$D$6:$D$13,$Q39)&lt;&gt;"",H39&lt;INDEX('합격 기준 수치표'!$D$6:$D$13,$Q39)),AND(INDEX('합격 기준 수치표'!$E$6:$E$13,$Q39)&lt;&gt;"",H39&gt;INDEX('합격 기준 수치표'!$E$6:$E$13,$Q39))),"X","OK")))))</f>
        <v/>
      </c>
      <c r="T39" s="23" t="str">
        <f aca="false">IF($A39="","",IF($Q39=0,"?",IF(AND(INDEX('합격 기준 수치표'!$F$6:$F$13,$Q39)="",INDEX('합격 기준 수치표'!$G$6:$G$13,$Q39)=""),"-",IF(I39="","N/A",IF(OR(AND(INDEX('합격 기준 수치표'!$F$6:$F$13,$Q39)&lt;&gt;"",I39&lt;INDEX('합격 기준 수치표'!$F$6:$F$13,$Q39)),AND(INDEX('합격 기준 수치표'!$G$6:$G$13,$Q39)&lt;&gt;"",I39&gt;INDEX('합격 기준 수치표'!$G$6:$G$13,$Q39))),"X","OK")))))</f>
        <v/>
      </c>
      <c r="U39" s="23" t="str">
        <f aca="false">IF($A39="","",IF($Q39=0,"?",IF(AND(INDEX('합격 기준 수치표'!$H$6:$H$13,$Q39)="",INDEX('합격 기준 수치표'!$I$6:$I$13,$Q39)=""),"-",IF(J39="","N/A",IF(OR(AND(INDEX('합격 기준 수치표'!$H$6:$H$13,$Q39)&lt;&gt;"",J39&lt;INDEX('합격 기준 수치표'!$H$6:$H$13,$Q39)),AND(INDEX('합격 기준 수치표'!$I$6:$I$13,$Q39)&lt;&gt;"",J39&gt;INDEX('합격 기준 수치표'!$I$6:$I$13,$Q39))),"X","OK")))))</f>
        <v/>
      </c>
      <c r="V39" s="23" t="str">
        <f aca="false">IF($A39="","",IF($Q39=0,"?",IF(AND(INDEX('합격 기준 수치표'!$J$6:$J$13,$Q39)="",INDEX('합격 기준 수치표'!$K$6:$K$13,$Q39)=""),"-",IF(K39="","N/A",IF(OR(AND(INDEX('합격 기준 수치표'!$J$6:$J$13,$Q39)&lt;&gt;"",K39&lt;INDEX('합격 기준 수치표'!$J$6:$J$13,$Q39)),AND(INDEX('합격 기준 수치표'!$K$6:$K$13,$Q39)&lt;&gt;"",K39&gt;INDEX('합격 기준 수치표'!$K$6:$K$13,$Q39))),"X","OK")))))</f>
        <v/>
      </c>
      <c r="W39" s="23" t="str">
        <f aca="false">IF($A39="","",IF($Q39=0,"?",IF(AND(INDEX('합격 기준 수치표'!$L$6:$L$13,$Q39)="",INDEX('합격 기준 수치표'!$M$6:$M$13,$Q39)=""),"-",IF(L39="","N/A",IF(OR(AND(INDEX('합격 기준 수치표'!$L$6:$L$13,$Q39)&lt;&gt;"",L39&lt;INDEX('합격 기준 수치표'!$L$6:$L$13,$Q39)),AND(INDEX('합격 기준 수치표'!$M$6:$M$13,$Q39)&lt;&gt;"",L39&gt;INDEX('합격 기준 수치표'!$M$6:$M$13,$Q39))),"X","OK")))))</f>
        <v/>
      </c>
      <c r="X39" s="23" t="str">
        <f aca="false">IF($A39="","",IF($Q39=0,"?",IF(AND(INDEX('합격 기준 수치표'!$N$6:$N$13,$Q39)="",INDEX('합격 기준 수치표'!$O$6:$O$13,$Q39)=""),"-",IF(M39="","N/A",IF(OR(AND(INDEX('합격 기준 수치표'!$N$6:$N$13,$Q39)&lt;&gt;"",M39&lt;INDEX('합격 기준 수치표'!$N$6:$N$13,$Q39)),AND(INDEX('합격 기준 수치표'!$O$6:$O$13,$Q39)&lt;&gt;"",M39&gt;INDEX('합격 기준 수치표'!$O$6:$O$13,$Q39))),"X","OK")))))</f>
        <v/>
      </c>
      <c r="Y39" s="23" t="str">
        <f aca="false">IF($A39="","",IF($Q39=0,"?",IF(AND(INDEX('합격 기준 수치표'!$P$6:$P$13,$Q39)="",INDEX('합격 기준 수치표'!$Q$6:$Q$13,$Q39)=""),"-",IF(N39="","N/A",IF(OR(AND(INDEX('합격 기준 수치표'!$P$6:$P$13,$Q39)&lt;&gt;"",N39&lt;INDEX('합격 기준 수치표'!$P$6:$P$13,$Q39)),AND(INDEX('합격 기준 수치표'!$Q$6:$Q$13,$Q39)&lt;&gt;"",N39&gt;INDEX('합격 기준 수치표'!$Q$6:$Q$13,$Q39))),"X","OK")))))</f>
        <v/>
      </c>
      <c r="Z39" s="48" t="str">
        <f aca="false">IF($A39="","",COUNTIF($S39:$Y39,"X")+IF($R39="X",1,0))</f>
        <v/>
      </c>
      <c r="AA39" s="21" t="str">
        <f aca="false">IF($A39="","",IF($Q39=0,"자세명 확인",IF($Z39=0,"PASS","FAIL")))</f>
        <v/>
      </c>
    </row>
    <row r="40" customFormat="false" ht="15" hidden="false" customHeight="false" outlineLevel="0" collapsed="false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23" t="str">
        <f aca="false">IF($A40="","",IFERROR(MATCH($C40,'합격 기준 수치표'!$B$6:$B$13,0),0))</f>
        <v/>
      </c>
      <c r="R40" s="23" t="str">
        <f aca="false">IF($A40="","",IF(AND(E40&gt;='합격 기준 수치표'!$D$17,F40&gt;='합격 기준 수치표'!$D$18,F40&lt;='합격 기준 수치표'!$D$19,G40&gt;='합격 기준 수치표'!$D$20,G40&lt;='합격 기준 수치표'!$D$21,P40&lt;='합격 기준 수치표'!$D$23,OR(H40&lt;='합격 기준 수치표'!$D$24,O40="",O40&lt;='합격 기준 수치표'!$D$22)),"OK","X"))</f>
        <v/>
      </c>
      <c r="S40" s="23" t="str">
        <f aca="false">IF($A40="","",IF($Q40=0,"?",IF(AND(INDEX('합격 기준 수치표'!$D$6:$D$13,$Q40)="",INDEX('합격 기준 수치표'!$E$6:$E$13,$Q40)=""),"-",IF(H40="","N/A",IF(OR(AND(INDEX('합격 기준 수치표'!$D$6:$D$13,$Q40)&lt;&gt;"",H40&lt;INDEX('합격 기준 수치표'!$D$6:$D$13,$Q40)),AND(INDEX('합격 기준 수치표'!$E$6:$E$13,$Q40)&lt;&gt;"",H40&gt;INDEX('합격 기준 수치표'!$E$6:$E$13,$Q40))),"X","OK")))))</f>
        <v/>
      </c>
      <c r="T40" s="23" t="str">
        <f aca="false">IF($A40="","",IF($Q40=0,"?",IF(AND(INDEX('합격 기준 수치표'!$F$6:$F$13,$Q40)="",INDEX('합격 기준 수치표'!$G$6:$G$13,$Q40)=""),"-",IF(I40="","N/A",IF(OR(AND(INDEX('합격 기준 수치표'!$F$6:$F$13,$Q40)&lt;&gt;"",I40&lt;INDEX('합격 기준 수치표'!$F$6:$F$13,$Q40)),AND(INDEX('합격 기준 수치표'!$G$6:$G$13,$Q40)&lt;&gt;"",I40&gt;INDEX('합격 기준 수치표'!$G$6:$G$13,$Q40))),"X","OK")))))</f>
        <v/>
      </c>
      <c r="U40" s="23" t="str">
        <f aca="false">IF($A40="","",IF($Q40=0,"?",IF(AND(INDEX('합격 기준 수치표'!$H$6:$H$13,$Q40)="",INDEX('합격 기준 수치표'!$I$6:$I$13,$Q40)=""),"-",IF(J40="","N/A",IF(OR(AND(INDEX('합격 기준 수치표'!$H$6:$H$13,$Q40)&lt;&gt;"",J40&lt;INDEX('합격 기준 수치표'!$H$6:$H$13,$Q40)),AND(INDEX('합격 기준 수치표'!$I$6:$I$13,$Q40)&lt;&gt;"",J40&gt;INDEX('합격 기준 수치표'!$I$6:$I$13,$Q40))),"X","OK")))))</f>
        <v/>
      </c>
      <c r="V40" s="23" t="str">
        <f aca="false">IF($A40="","",IF($Q40=0,"?",IF(AND(INDEX('합격 기준 수치표'!$J$6:$J$13,$Q40)="",INDEX('합격 기준 수치표'!$K$6:$K$13,$Q40)=""),"-",IF(K40="","N/A",IF(OR(AND(INDEX('합격 기준 수치표'!$J$6:$J$13,$Q40)&lt;&gt;"",K40&lt;INDEX('합격 기준 수치표'!$J$6:$J$13,$Q40)),AND(INDEX('합격 기준 수치표'!$K$6:$K$13,$Q40)&lt;&gt;"",K40&gt;INDEX('합격 기준 수치표'!$K$6:$K$13,$Q40))),"X","OK")))))</f>
        <v/>
      </c>
      <c r="W40" s="23" t="str">
        <f aca="false">IF($A40="","",IF($Q40=0,"?",IF(AND(INDEX('합격 기준 수치표'!$L$6:$L$13,$Q40)="",INDEX('합격 기준 수치표'!$M$6:$M$13,$Q40)=""),"-",IF(L40="","N/A",IF(OR(AND(INDEX('합격 기준 수치표'!$L$6:$L$13,$Q40)&lt;&gt;"",L40&lt;INDEX('합격 기준 수치표'!$L$6:$L$13,$Q40)),AND(INDEX('합격 기준 수치표'!$M$6:$M$13,$Q40)&lt;&gt;"",L40&gt;INDEX('합격 기준 수치표'!$M$6:$M$13,$Q40))),"X","OK")))))</f>
        <v/>
      </c>
      <c r="X40" s="23" t="str">
        <f aca="false">IF($A40="","",IF($Q40=0,"?",IF(AND(INDEX('합격 기준 수치표'!$N$6:$N$13,$Q40)="",INDEX('합격 기준 수치표'!$O$6:$O$13,$Q40)=""),"-",IF(M40="","N/A",IF(OR(AND(INDEX('합격 기준 수치표'!$N$6:$N$13,$Q40)&lt;&gt;"",M40&lt;INDEX('합격 기준 수치표'!$N$6:$N$13,$Q40)),AND(INDEX('합격 기준 수치표'!$O$6:$O$13,$Q40)&lt;&gt;"",M40&gt;INDEX('합격 기준 수치표'!$O$6:$O$13,$Q40))),"X","OK")))))</f>
        <v/>
      </c>
      <c r="Y40" s="23" t="str">
        <f aca="false">IF($A40="","",IF($Q40=0,"?",IF(AND(INDEX('합격 기준 수치표'!$P$6:$P$13,$Q40)="",INDEX('합격 기준 수치표'!$Q$6:$Q$13,$Q40)=""),"-",IF(N40="","N/A",IF(OR(AND(INDEX('합격 기준 수치표'!$P$6:$P$13,$Q40)&lt;&gt;"",N40&lt;INDEX('합격 기준 수치표'!$P$6:$P$13,$Q40)),AND(INDEX('합격 기준 수치표'!$Q$6:$Q$13,$Q40)&lt;&gt;"",N40&gt;INDEX('합격 기준 수치표'!$Q$6:$Q$13,$Q40))),"X","OK")))))</f>
        <v/>
      </c>
      <c r="Z40" s="48" t="str">
        <f aca="false">IF($A40="","",COUNTIF($S40:$Y40,"X")+IF($R40="X",1,0))</f>
        <v/>
      </c>
      <c r="AA40" s="21" t="str">
        <f aca="false">IF($A40="","",IF($Q40=0,"자세명 확인",IF($Z40=0,"PASS","FAIL")))</f>
        <v/>
      </c>
    </row>
    <row r="41" customFormat="false" ht="15" hidden="false" customHeight="false" outlineLevel="0" collapsed="false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23" t="str">
        <f aca="false">IF($A41="","",IFERROR(MATCH($C41,'합격 기준 수치표'!$B$6:$B$13,0),0))</f>
        <v/>
      </c>
      <c r="R41" s="23" t="str">
        <f aca="false">IF($A41="","",IF(AND(E41&gt;='합격 기준 수치표'!$D$17,F41&gt;='합격 기준 수치표'!$D$18,F41&lt;='합격 기준 수치표'!$D$19,G41&gt;='합격 기준 수치표'!$D$20,G41&lt;='합격 기준 수치표'!$D$21,P41&lt;='합격 기준 수치표'!$D$23,OR(H41&lt;='합격 기준 수치표'!$D$24,O41="",O41&lt;='합격 기준 수치표'!$D$22)),"OK","X"))</f>
        <v/>
      </c>
      <c r="S41" s="23" t="str">
        <f aca="false">IF($A41="","",IF($Q41=0,"?",IF(AND(INDEX('합격 기준 수치표'!$D$6:$D$13,$Q41)="",INDEX('합격 기준 수치표'!$E$6:$E$13,$Q41)=""),"-",IF(H41="","N/A",IF(OR(AND(INDEX('합격 기준 수치표'!$D$6:$D$13,$Q41)&lt;&gt;"",H41&lt;INDEX('합격 기준 수치표'!$D$6:$D$13,$Q41)),AND(INDEX('합격 기준 수치표'!$E$6:$E$13,$Q41)&lt;&gt;"",H41&gt;INDEX('합격 기준 수치표'!$E$6:$E$13,$Q41))),"X","OK")))))</f>
        <v/>
      </c>
      <c r="T41" s="23" t="str">
        <f aca="false">IF($A41="","",IF($Q41=0,"?",IF(AND(INDEX('합격 기준 수치표'!$F$6:$F$13,$Q41)="",INDEX('합격 기준 수치표'!$G$6:$G$13,$Q41)=""),"-",IF(I41="","N/A",IF(OR(AND(INDEX('합격 기준 수치표'!$F$6:$F$13,$Q41)&lt;&gt;"",I41&lt;INDEX('합격 기준 수치표'!$F$6:$F$13,$Q41)),AND(INDEX('합격 기준 수치표'!$G$6:$G$13,$Q41)&lt;&gt;"",I41&gt;INDEX('합격 기준 수치표'!$G$6:$G$13,$Q41))),"X","OK")))))</f>
        <v/>
      </c>
      <c r="U41" s="23" t="str">
        <f aca="false">IF($A41="","",IF($Q41=0,"?",IF(AND(INDEX('합격 기준 수치표'!$H$6:$H$13,$Q41)="",INDEX('합격 기준 수치표'!$I$6:$I$13,$Q41)=""),"-",IF(J41="","N/A",IF(OR(AND(INDEX('합격 기준 수치표'!$H$6:$H$13,$Q41)&lt;&gt;"",J41&lt;INDEX('합격 기준 수치표'!$H$6:$H$13,$Q41)),AND(INDEX('합격 기준 수치표'!$I$6:$I$13,$Q41)&lt;&gt;"",J41&gt;INDEX('합격 기준 수치표'!$I$6:$I$13,$Q41))),"X","OK")))))</f>
        <v/>
      </c>
      <c r="V41" s="23" t="str">
        <f aca="false">IF($A41="","",IF($Q41=0,"?",IF(AND(INDEX('합격 기준 수치표'!$J$6:$J$13,$Q41)="",INDEX('합격 기준 수치표'!$K$6:$K$13,$Q41)=""),"-",IF(K41="","N/A",IF(OR(AND(INDEX('합격 기준 수치표'!$J$6:$J$13,$Q41)&lt;&gt;"",K41&lt;INDEX('합격 기준 수치표'!$J$6:$J$13,$Q41)),AND(INDEX('합격 기준 수치표'!$K$6:$K$13,$Q41)&lt;&gt;"",K41&gt;INDEX('합격 기준 수치표'!$K$6:$K$13,$Q41))),"X","OK")))))</f>
        <v/>
      </c>
      <c r="W41" s="23" t="str">
        <f aca="false">IF($A41="","",IF($Q41=0,"?",IF(AND(INDEX('합격 기준 수치표'!$L$6:$L$13,$Q41)="",INDEX('합격 기준 수치표'!$M$6:$M$13,$Q41)=""),"-",IF(L41="","N/A",IF(OR(AND(INDEX('합격 기준 수치표'!$L$6:$L$13,$Q41)&lt;&gt;"",L41&lt;INDEX('합격 기준 수치표'!$L$6:$L$13,$Q41)),AND(INDEX('합격 기준 수치표'!$M$6:$M$13,$Q41)&lt;&gt;"",L41&gt;INDEX('합격 기준 수치표'!$M$6:$M$13,$Q41))),"X","OK")))))</f>
        <v/>
      </c>
      <c r="X41" s="23" t="str">
        <f aca="false">IF($A41="","",IF($Q41=0,"?",IF(AND(INDEX('합격 기준 수치표'!$N$6:$N$13,$Q41)="",INDEX('합격 기준 수치표'!$O$6:$O$13,$Q41)=""),"-",IF(M41="","N/A",IF(OR(AND(INDEX('합격 기준 수치표'!$N$6:$N$13,$Q41)&lt;&gt;"",M41&lt;INDEX('합격 기준 수치표'!$N$6:$N$13,$Q41)),AND(INDEX('합격 기준 수치표'!$O$6:$O$13,$Q41)&lt;&gt;"",M41&gt;INDEX('합격 기준 수치표'!$O$6:$O$13,$Q41))),"X","OK")))))</f>
        <v/>
      </c>
      <c r="Y41" s="23" t="str">
        <f aca="false">IF($A41="","",IF($Q41=0,"?",IF(AND(INDEX('합격 기준 수치표'!$P$6:$P$13,$Q41)="",INDEX('합격 기준 수치표'!$Q$6:$Q$13,$Q41)=""),"-",IF(N41="","N/A",IF(OR(AND(INDEX('합격 기준 수치표'!$P$6:$P$13,$Q41)&lt;&gt;"",N41&lt;INDEX('합격 기준 수치표'!$P$6:$P$13,$Q41)),AND(INDEX('합격 기준 수치표'!$Q$6:$Q$13,$Q41)&lt;&gt;"",N41&gt;INDEX('합격 기준 수치표'!$Q$6:$Q$13,$Q41))),"X","OK")))))</f>
        <v/>
      </c>
      <c r="Z41" s="48" t="str">
        <f aca="false">IF($A41="","",COUNTIF($S41:$Y41,"X")+IF($R41="X",1,0))</f>
        <v/>
      </c>
      <c r="AA41" s="21" t="str">
        <f aca="false">IF($A41="","",IF($Q41=0,"자세명 확인",IF($Z41=0,"PASS","FAIL")))</f>
        <v/>
      </c>
    </row>
    <row r="42" customFormat="false" ht="15" hidden="false" customHeight="false" outlineLevel="0" collapsed="false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23" t="str">
        <f aca="false">IF($A42="","",IFERROR(MATCH($C42,'합격 기준 수치표'!$B$6:$B$13,0),0))</f>
        <v/>
      </c>
      <c r="R42" s="23" t="str">
        <f aca="false">IF($A42="","",IF(AND(E42&gt;='합격 기준 수치표'!$D$17,F42&gt;='합격 기준 수치표'!$D$18,F42&lt;='합격 기준 수치표'!$D$19,G42&gt;='합격 기준 수치표'!$D$20,G42&lt;='합격 기준 수치표'!$D$21,P42&lt;='합격 기준 수치표'!$D$23,OR(H42&lt;='합격 기준 수치표'!$D$24,O42="",O42&lt;='합격 기준 수치표'!$D$22)),"OK","X"))</f>
        <v/>
      </c>
      <c r="S42" s="23" t="str">
        <f aca="false">IF($A42="","",IF($Q42=0,"?",IF(AND(INDEX('합격 기준 수치표'!$D$6:$D$13,$Q42)="",INDEX('합격 기준 수치표'!$E$6:$E$13,$Q42)=""),"-",IF(H42="","N/A",IF(OR(AND(INDEX('합격 기준 수치표'!$D$6:$D$13,$Q42)&lt;&gt;"",H42&lt;INDEX('합격 기준 수치표'!$D$6:$D$13,$Q42)),AND(INDEX('합격 기준 수치표'!$E$6:$E$13,$Q42)&lt;&gt;"",H42&gt;INDEX('합격 기준 수치표'!$E$6:$E$13,$Q42))),"X","OK")))))</f>
        <v/>
      </c>
      <c r="T42" s="23" t="str">
        <f aca="false">IF($A42="","",IF($Q42=0,"?",IF(AND(INDEX('합격 기준 수치표'!$F$6:$F$13,$Q42)="",INDEX('합격 기준 수치표'!$G$6:$G$13,$Q42)=""),"-",IF(I42="","N/A",IF(OR(AND(INDEX('합격 기준 수치표'!$F$6:$F$13,$Q42)&lt;&gt;"",I42&lt;INDEX('합격 기준 수치표'!$F$6:$F$13,$Q42)),AND(INDEX('합격 기준 수치표'!$G$6:$G$13,$Q42)&lt;&gt;"",I42&gt;INDEX('합격 기준 수치표'!$G$6:$G$13,$Q42))),"X","OK")))))</f>
        <v/>
      </c>
      <c r="U42" s="23" t="str">
        <f aca="false">IF($A42="","",IF($Q42=0,"?",IF(AND(INDEX('합격 기준 수치표'!$H$6:$H$13,$Q42)="",INDEX('합격 기준 수치표'!$I$6:$I$13,$Q42)=""),"-",IF(J42="","N/A",IF(OR(AND(INDEX('합격 기준 수치표'!$H$6:$H$13,$Q42)&lt;&gt;"",J42&lt;INDEX('합격 기준 수치표'!$H$6:$H$13,$Q42)),AND(INDEX('합격 기준 수치표'!$I$6:$I$13,$Q42)&lt;&gt;"",J42&gt;INDEX('합격 기준 수치표'!$I$6:$I$13,$Q42))),"X","OK")))))</f>
        <v/>
      </c>
      <c r="V42" s="23" t="str">
        <f aca="false">IF($A42="","",IF($Q42=0,"?",IF(AND(INDEX('합격 기준 수치표'!$J$6:$J$13,$Q42)="",INDEX('합격 기준 수치표'!$K$6:$K$13,$Q42)=""),"-",IF(K42="","N/A",IF(OR(AND(INDEX('합격 기준 수치표'!$J$6:$J$13,$Q42)&lt;&gt;"",K42&lt;INDEX('합격 기준 수치표'!$J$6:$J$13,$Q42)),AND(INDEX('합격 기준 수치표'!$K$6:$K$13,$Q42)&lt;&gt;"",K42&gt;INDEX('합격 기준 수치표'!$K$6:$K$13,$Q42))),"X","OK")))))</f>
        <v/>
      </c>
      <c r="W42" s="23" t="str">
        <f aca="false">IF($A42="","",IF($Q42=0,"?",IF(AND(INDEX('합격 기준 수치표'!$L$6:$L$13,$Q42)="",INDEX('합격 기준 수치표'!$M$6:$M$13,$Q42)=""),"-",IF(L42="","N/A",IF(OR(AND(INDEX('합격 기준 수치표'!$L$6:$L$13,$Q42)&lt;&gt;"",L42&lt;INDEX('합격 기준 수치표'!$L$6:$L$13,$Q42)),AND(INDEX('합격 기준 수치표'!$M$6:$M$13,$Q42)&lt;&gt;"",L42&gt;INDEX('합격 기준 수치표'!$M$6:$M$13,$Q42))),"X","OK")))))</f>
        <v/>
      </c>
      <c r="X42" s="23" t="str">
        <f aca="false">IF($A42="","",IF($Q42=0,"?",IF(AND(INDEX('합격 기준 수치표'!$N$6:$N$13,$Q42)="",INDEX('합격 기준 수치표'!$O$6:$O$13,$Q42)=""),"-",IF(M42="","N/A",IF(OR(AND(INDEX('합격 기준 수치표'!$N$6:$N$13,$Q42)&lt;&gt;"",M42&lt;INDEX('합격 기준 수치표'!$N$6:$N$13,$Q42)),AND(INDEX('합격 기준 수치표'!$O$6:$O$13,$Q42)&lt;&gt;"",M42&gt;INDEX('합격 기준 수치표'!$O$6:$O$13,$Q42))),"X","OK")))))</f>
        <v/>
      </c>
      <c r="Y42" s="23" t="str">
        <f aca="false">IF($A42="","",IF($Q42=0,"?",IF(AND(INDEX('합격 기준 수치표'!$P$6:$P$13,$Q42)="",INDEX('합격 기준 수치표'!$Q$6:$Q$13,$Q42)=""),"-",IF(N42="","N/A",IF(OR(AND(INDEX('합격 기준 수치표'!$P$6:$P$13,$Q42)&lt;&gt;"",N42&lt;INDEX('합격 기준 수치표'!$P$6:$P$13,$Q42)),AND(INDEX('합격 기준 수치표'!$Q$6:$Q$13,$Q42)&lt;&gt;"",N42&gt;INDEX('합격 기준 수치표'!$Q$6:$Q$13,$Q42))),"X","OK")))))</f>
        <v/>
      </c>
      <c r="Z42" s="48" t="str">
        <f aca="false">IF($A42="","",COUNTIF($S42:$Y42,"X")+IF($R42="X",1,0))</f>
        <v/>
      </c>
      <c r="AA42" s="21" t="str">
        <f aca="false">IF($A42="","",IF($Q42=0,"자세명 확인",IF($Z42=0,"PASS","FAIL")))</f>
        <v/>
      </c>
    </row>
    <row r="43" customFormat="false" ht="15" hidden="false" customHeight="false" outlineLevel="0" collapsed="false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23" t="str">
        <f aca="false">IF($A43="","",IFERROR(MATCH($C43,'합격 기준 수치표'!$B$6:$B$13,0),0))</f>
        <v/>
      </c>
      <c r="R43" s="23" t="str">
        <f aca="false">IF($A43="","",IF(AND(E43&gt;='합격 기준 수치표'!$D$17,F43&gt;='합격 기준 수치표'!$D$18,F43&lt;='합격 기준 수치표'!$D$19,G43&gt;='합격 기준 수치표'!$D$20,G43&lt;='합격 기준 수치표'!$D$21,P43&lt;='합격 기준 수치표'!$D$23,OR(H43&lt;='합격 기준 수치표'!$D$24,O43="",O43&lt;='합격 기준 수치표'!$D$22)),"OK","X"))</f>
        <v/>
      </c>
      <c r="S43" s="23" t="str">
        <f aca="false">IF($A43="","",IF($Q43=0,"?",IF(AND(INDEX('합격 기준 수치표'!$D$6:$D$13,$Q43)="",INDEX('합격 기준 수치표'!$E$6:$E$13,$Q43)=""),"-",IF(H43="","N/A",IF(OR(AND(INDEX('합격 기준 수치표'!$D$6:$D$13,$Q43)&lt;&gt;"",H43&lt;INDEX('합격 기준 수치표'!$D$6:$D$13,$Q43)),AND(INDEX('합격 기준 수치표'!$E$6:$E$13,$Q43)&lt;&gt;"",H43&gt;INDEX('합격 기준 수치표'!$E$6:$E$13,$Q43))),"X","OK")))))</f>
        <v/>
      </c>
      <c r="T43" s="23" t="str">
        <f aca="false">IF($A43="","",IF($Q43=0,"?",IF(AND(INDEX('합격 기준 수치표'!$F$6:$F$13,$Q43)="",INDEX('합격 기준 수치표'!$G$6:$G$13,$Q43)=""),"-",IF(I43="","N/A",IF(OR(AND(INDEX('합격 기준 수치표'!$F$6:$F$13,$Q43)&lt;&gt;"",I43&lt;INDEX('합격 기준 수치표'!$F$6:$F$13,$Q43)),AND(INDEX('합격 기준 수치표'!$G$6:$G$13,$Q43)&lt;&gt;"",I43&gt;INDEX('합격 기준 수치표'!$G$6:$G$13,$Q43))),"X","OK")))))</f>
        <v/>
      </c>
      <c r="U43" s="23" t="str">
        <f aca="false">IF($A43="","",IF($Q43=0,"?",IF(AND(INDEX('합격 기준 수치표'!$H$6:$H$13,$Q43)="",INDEX('합격 기준 수치표'!$I$6:$I$13,$Q43)=""),"-",IF(J43="","N/A",IF(OR(AND(INDEX('합격 기준 수치표'!$H$6:$H$13,$Q43)&lt;&gt;"",J43&lt;INDEX('합격 기준 수치표'!$H$6:$H$13,$Q43)),AND(INDEX('합격 기준 수치표'!$I$6:$I$13,$Q43)&lt;&gt;"",J43&gt;INDEX('합격 기준 수치표'!$I$6:$I$13,$Q43))),"X","OK")))))</f>
        <v/>
      </c>
      <c r="V43" s="23" t="str">
        <f aca="false">IF($A43="","",IF($Q43=0,"?",IF(AND(INDEX('합격 기준 수치표'!$J$6:$J$13,$Q43)="",INDEX('합격 기준 수치표'!$K$6:$K$13,$Q43)=""),"-",IF(K43="","N/A",IF(OR(AND(INDEX('합격 기준 수치표'!$J$6:$J$13,$Q43)&lt;&gt;"",K43&lt;INDEX('합격 기준 수치표'!$J$6:$J$13,$Q43)),AND(INDEX('합격 기준 수치표'!$K$6:$K$13,$Q43)&lt;&gt;"",K43&gt;INDEX('합격 기준 수치표'!$K$6:$K$13,$Q43))),"X","OK")))))</f>
        <v/>
      </c>
      <c r="W43" s="23" t="str">
        <f aca="false">IF($A43="","",IF($Q43=0,"?",IF(AND(INDEX('합격 기준 수치표'!$L$6:$L$13,$Q43)="",INDEX('합격 기준 수치표'!$M$6:$M$13,$Q43)=""),"-",IF(L43="","N/A",IF(OR(AND(INDEX('합격 기준 수치표'!$L$6:$L$13,$Q43)&lt;&gt;"",L43&lt;INDEX('합격 기준 수치표'!$L$6:$L$13,$Q43)),AND(INDEX('합격 기준 수치표'!$M$6:$M$13,$Q43)&lt;&gt;"",L43&gt;INDEX('합격 기준 수치표'!$M$6:$M$13,$Q43))),"X","OK")))))</f>
        <v/>
      </c>
      <c r="X43" s="23" t="str">
        <f aca="false">IF($A43="","",IF($Q43=0,"?",IF(AND(INDEX('합격 기준 수치표'!$N$6:$N$13,$Q43)="",INDEX('합격 기준 수치표'!$O$6:$O$13,$Q43)=""),"-",IF(M43="","N/A",IF(OR(AND(INDEX('합격 기준 수치표'!$N$6:$N$13,$Q43)&lt;&gt;"",M43&lt;INDEX('합격 기준 수치표'!$N$6:$N$13,$Q43)),AND(INDEX('합격 기준 수치표'!$O$6:$O$13,$Q43)&lt;&gt;"",M43&gt;INDEX('합격 기준 수치표'!$O$6:$O$13,$Q43))),"X","OK")))))</f>
        <v/>
      </c>
      <c r="Y43" s="23" t="str">
        <f aca="false">IF($A43="","",IF($Q43=0,"?",IF(AND(INDEX('합격 기준 수치표'!$P$6:$P$13,$Q43)="",INDEX('합격 기준 수치표'!$Q$6:$Q$13,$Q43)=""),"-",IF(N43="","N/A",IF(OR(AND(INDEX('합격 기준 수치표'!$P$6:$P$13,$Q43)&lt;&gt;"",N43&lt;INDEX('합격 기준 수치표'!$P$6:$P$13,$Q43)),AND(INDEX('합격 기준 수치표'!$Q$6:$Q$13,$Q43)&lt;&gt;"",N43&gt;INDEX('합격 기준 수치표'!$Q$6:$Q$13,$Q43))),"X","OK")))))</f>
        <v/>
      </c>
      <c r="Z43" s="48" t="str">
        <f aca="false">IF($A43="","",COUNTIF($S43:$Y43,"X")+IF($R43="X",1,0))</f>
        <v/>
      </c>
      <c r="AA43" s="21" t="str">
        <f aca="false">IF($A43="","",IF($Q43=0,"자세명 확인",IF($Z43=0,"PASS","FAIL")))</f>
        <v/>
      </c>
    </row>
    <row r="44" customFormat="false" ht="15" hidden="false" customHeight="false" outlineLevel="0" collapsed="false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23" t="str">
        <f aca="false">IF($A44="","",IFERROR(MATCH($C44,'합격 기준 수치표'!$B$6:$B$13,0),0))</f>
        <v/>
      </c>
      <c r="R44" s="23" t="str">
        <f aca="false">IF($A44="","",IF(AND(E44&gt;='합격 기준 수치표'!$D$17,F44&gt;='합격 기준 수치표'!$D$18,F44&lt;='합격 기준 수치표'!$D$19,G44&gt;='합격 기준 수치표'!$D$20,G44&lt;='합격 기준 수치표'!$D$21,P44&lt;='합격 기준 수치표'!$D$23,OR(H44&lt;='합격 기준 수치표'!$D$24,O44="",O44&lt;='합격 기준 수치표'!$D$22)),"OK","X"))</f>
        <v/>
      </c>
      <c r="S44" s="23" t="str">
        <f aca="false">IF($A44="","",IF($Q44=0,"?",IF(AND(INDEX('합격 기준 수치표'!$D$6:$D$13,$Q44)="",INDEX('합격 기준 수치표'!$E$6:$E$13,$Q44)=""),"-",IF(H44="","N/A",IF(OR(AND(INDEX('합격 기준 수치표'!$D$6:$D$13,$Q44)&lt;&gt;"",H44&lt;INDEX('합격 기준 수치표'!$D$6:$D$13,$Q44)),AND(INDEX('합격 기준 수치표'!$E$6:$E$13,$Q44)&lt;&gt;"",H44&gt;INDEX('합격 기준 수치표'!$E$6:$E$13,$Q44))),"X","OK")))))</f>
        <v/>
      </c>
      <c r="T44" s="23" t="str">
        <f aca="false">IF($A44="","",IF($Q44=0,"?",IF(AND(INDEX('합격 기준 수치표'!$F$6:$F$13,$Q44)="",INDEX('합격 기준 수치표'!$G$6:$G$13,$Q44)=""),"-",IF(I44="","N/A",IF(OR(AND(INDEX('합격 기준 수치표'!$F$6:$F$13,$Q44)&lt;&gt;"",I44&lt;INDEX('합격 기준 수치표'!$F$6:$F$13,$Q44)),AND(INDEX('합격 기준 수치표'!$G$6:$G$13,$Q44)&lt;&gt;"",I44&gt;INDEX('합격 기준 수치표'!$G$6:$G$13,$Q44))),"X","OK")))))</f>
        <v/>
      </c>
      <c r="U44" s="23" t="str">
        <f aca="false">IF($A44="","",IF($Q44=0,"?",IF(AND(INDEX('합격 기준 수치표'!$H$6:$H$13,$Q44)="",INDEX('합격 기준 수치표'!$I$6:$I$13,$Q44)=""),"-",IF(J44="","N/A",IF(OR(AND(INDEX('합격 기준 수치표'!$H$6:$H$13,$Q44)&lt;&gt;"",J44&lt;INDEX('합격 기준 수치표'!$H$6:$H$13,$Q44)),AND(INDEX('합격 기준 수치표'!$I$6:$I$13,$Q44)&lt;&gt;"",J44&gt;INDEX('합격 기준 수치표'!$I$6:$I$13,$Q44))),"X","OK")))))</f>
        <v/>
      </c>
      <c r="V44" s="23" t="str">
        <f aca="false">IF($A44="","",IF($Q44=0,"?",IF(AND(INDEX('합격 기준 수치표'!$J$6:$J$13,$Q44)="",INDEX('합격 기준 수치표'!$K$6:$K$13,$Q44)=""),"-",IF(K44="","N/A",IF(OR(AND(INDEX('합격 기준 수치표'!$J$6:$J$13,$Q44)&lt;&gt;"",K44&lt;INDEX('합격 기준 수치표'!$J$6:$J$13,$Q44)),AND(INDEX('합격 기준 수치표'!$K$6:$K$13,$Q44)&lt;&gt;"",K44&gt;INDEX('합격 기준 수치표'!$K$6:$K$13,$Q44))),"X","OK")))))</f>
        <v/>
      </c>
      <c r="W44" s="23" t="str">
        <f aca="false">IF($A44="","",IF($Q44=0,"?",IF(AND(INDEX('합격 기준 수치표'!$L$6:$L$13,$Q44)="",INDEX('합격 기준 수치표'!$M$6:$M$13,$Q44)=""),"-",IF(L44="","N/A",IF(OR(AND(INDEX('합격 기준 수치표'!$L$6:$L$13,$Q44)&lt;&gt;"",L44&lt;INDEX('합격 기준 수치표'!$L$6:$L$13,$Q44)),AND(INDEX('합격 기준 수치표'!$M$6:$M$13,$Q44)&lt;&gt;"",L44&gt;INDEX('합격 기준 수치표'!$M$6:$M$13,$Q44))),"X","OK")))))</f>
        <v/>
      </c>
      <c r="X44" s="23" t="str">
        <f aca="false">IF($A44="","",IF($Q44=0,"?",IF(AND(INDEX('합격 기준 수치표'!$N$6:$N$13,$Q44)="",INDEX('합격 기준 수치표'!$O$6:$O$13,$Q44)=""),"-",IF(M44="","N/A",IF(OR(AND(INDEX('합격 기준 수치표'!$N$6:$N$13,$Q44)&lt;&gt;"",M44&lt;INDEX('합격 기준 수치표'!$N$6:$N$13,$Q44)),AND(INDEX('합격 기준 수치표'!$O$6:$O$13,$Q44)&lt;&gt;"",M44&gt;INDEX('합격 기준 수치표'!$O$6:$O$13,$Q44))),"X","OK")))))</f>
        <v/>
      </c>
      <c r="Y44" s="23" t="str">
        <f aca="false">IF($A44="","",IF($Q44=0,"?",IF(AND(INDEX('합격 기준 수치표'!$P$6:$P$13,$Q44)="",INDEX('합격 기준 수치표'!$Q$6:$Q$13,$Q44)=""),"-",IF(N44="","N/A",IF(OR(AND(INDEX('합격 기준 수치표'!$P$6:$P$13,$Q44)&lt;&gt;"",N44&lt;INDEX('합격 기준 수치표'!$P$6:$P$13,$Q44)),AND(INDEX('합격 기준 수치표'!$Q$6:$Q$13,$Q44)&lt;&gt;"",N44&gt;INDEX('합격 기준 수치표'!$Q$6:$Q$13,$Q44))),"X","OK")))))</f>
        <v/>
      </c>
      <c r="Z44" s="48" t="str">
        <f aca="false">IF($A44="","",COUNTIF($S44:$Y44,"X")+IF($R44="X",1,0))</f>
        <v/>
      </c>
      <c r="AA44" s="21" t="str">
        <f aca="false">IF($A44="","",IF($Q44=0,"자세명 확인",IF($Z44=0,"PASS","FAIL")))</f>
        <v/>
      </c>
    </row>
    <row r="45" customFormat="false" ht="15" hidden="false" customHeight="false" outlineLevel="0" collapsed="false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23" t="str">
        <f aca="false">IF($A45="","",IFERROR(MATCH($C45,'합격 기준 수치표'!$B$6:$B$13,0),0))</f>
        <v/>
      </c>
      <c r="R45" s="23" t="str">
        <f aca="false">IF($A45="","",IF(AND(E45&gt;='합격 기준 수치표'!$D$17,F45&gt;='합격 기준 수치표'!$D$18,F45&lt;='합격 기준 수치표'!$D$19,G45&gt;='합격 기준 수치표'!$D$20,G45&lt;='합격 기준 수치표'!$D$21,P45&lt;='합격 기준 수치표'!$D$23,OR(H45&lt;='합격 기준 수치표'!$D$24,O45="",O45&lt;='합격 기준 수치표'!$D$22)),"OK","X"))</f>
        <v/>
      </c>
      <c r="S45" s="23" t="str">
        <f aca="false">IF($A45="","",IF($Q45=0,"?",IF(AND(INDEX('합격 기준 수치표'!$D$6:$D$13,$Q45)="",INDEX('합격 기준 수치표'!$E$6:$E$13,$Q45)=""),"-",IF(H45="","N/A",IF(OR(AND(INDEX('합격 기준 수치표'!$D$6:$D$13,$Q45)&lt;&gt;"",H45&lt;INDEX('합격 기준 수치표'!$D$6:$D$13,$Q45)),AND(INDEX('합격 기준 수치표'!$E$6:$E$13,$Q45)&lt;&gt;"",H45&gt;INDEX('합격 기준 수치표'!$E$6:$E$13,$Q45))),"X","OK")))))</f>
        <v/>
      </c>
      <c r="T45" s="23" t="str">
        <f aca="false">IF($A45="","",IF($Q45=0,"?",IF(AND(INDEX('합격 기준 수치표'!$F$6:$F$13,$Q45)="",INDEX('합격 기준 수치표'!$G$6:$G$13,$Q45)=""),"-",IF(I45="","N/A",IF(OR(AND(INDEX('합격 기준 수치표'!$F$6:$F$13,$Q45)&lt;&gt;"",I45&lt;INDEX('합격 기준 수치표'!$F$6:$F$13,$Q45)),AND(INDEX('합격 기준 수치표'!$G$6:$G$13,$Q45)&lt;&gt;"",I45&gt;INDEX('합격 기준 수치표'!$G$6:$G$13,$Q45))),"X","OK")))))</f>
        <v/>
      </c>
      <c r="U45" s="23" t="str">
        <f aca="false">IF($A45="","",IF($Q45=0,"?",IF(AND(INDEX('합격 기준 수치표'!$H$6:$H$13,$Q45)="",INDEX('합격 기준 수치표'!$I$6:$I$13,$Q45)=""),"-",IF(J45="","N/A",IF(OR(AND(INDEX('합격 기준 수치표'!$H$6:$H$13,$Q45)&lt;&gt;"",J45&lt;INDEX('합격 기준 수치표'!$H$6:$H$13,$Q45)),AND(INDEX('합격 기준 수치표'!$I$6:$I$13,$Q45)&lt;&gt;"",J45&gt;INDEX('합격 기준 수치표'!$I$6:$I$13,$Q45))),"X","OK")))))</f>
        <v/>
      </c>
      <c r="V45" s="23" t="str">
        <f aca="false">IF($A45="","",IF($Q45=0,"?",IF(AND(INDEX('합격 기준 수치표'!$J$6:$J$13,$Q45)="",INDEX('합격 기준 수치표'!$K$6:$K$13,$Q45)=""),"-",IF(K45="","N/A",IF(OR(AND(INDEX('합격 기준 수치표'!$J$6:$J$13,$Q45)&lt;&gt;"",K45&lt;INDEX('합격 기준 수치표'!$J$6:$J$13,$Q45)),AND(INDEX('합격 기준 수치표'!$K$6:$K$13,$Q45)&lt;&gt;"",K45&gt;INDEX('합격 기준 수치표'!$K$6:$K$13,$Q45))),"X","OK")))))</f>
        <v/>
      </c>
      <c r="W45" s="23" t="str">
        <f aca="false">IF($A45="","",IF($Q45=0,"?",IF(AND(INDEX('합격 기준 수치표'!$L$6:$L$13,$Q45)="",INDEX('합격 기준 수치표'!$M$6:$M$13,$Q45)=""),"-",IF(L45="","N/A",IF(OR(AND(INDEX('합격 기준 수치표'!$L$6:$L$13,$Q45)&lt;&gt;"",L45&lt;INDEX('합격 기준 수치표'!$L$6:$L$13,$Q45)),AND(INDEX('합격 기준 수치표'!$M$6:$M$13,$Q45)&lt;&gt;"",L45&gt;INDEX('합격 기준 수치표'!$M$6:$M$13,$Q45))),"X","OK")))))</f>
        <v/>
      </c>
      <c r="X45" s="23" t="str">
        <f aca="false">IF($A45="","",IF($Q45=0,"?",IF(AND(INDEX('합격 기준 수치표'!$N$6:$N$13,$Q45)="",INDEX('합격 기준 수치표'!$O$6:$O$13,$Q45)=""),"-",IF(M45="","N/A",IF(OR(AND(INDEX('합격 기준 수치표'!$N$6:$N$13,$Q45)&lt;&gt;"",M45&lt;INDEX('합격 기준 수치표'!$N$6:$N$13,$Q45)),AND(INDEX('합격 기준 수치표'!$O$6:$O$13,$Q45)&lt;&gt;"",M45&gt;INDEX('합격 기준 수치표'!$O$6:$O$13,$Q45))),"X","OK")))))</f>
        <v/>
      </c>
      <c r="Y45" s="23" t="str">
        <f aca="false">IF($A45="","",IF($Q45=0,"?",IF(AND(INDEX('합격 기준 수치표'!$P$6:$P$13,$Q45)="",INDEX('합격 기준 수치표'!$Q$6:$Q$13,$Q45)=""),"-",IF(N45="","N/A",IF(OR(AND(INDEX('합격 기준 수치표'!$P$6:$P$13,$Q45)&lt;&gt;"",N45&lt;INDEX('합격 기준 수치표'!$P$6:$P$13,$Q45)),AND(INDEX('합격 기준 수치표'!$Q$6:$Q$13,$Q45)&lt;&gt;"",N45&gt;INDEX('합격 기준 수치표'!$Q$6:$Q$13,$Q45))),"X","OK")))))</f>
        <v/>
      </c>
      <c r="Z45" s="48" t="str">
        <f aca="false">IF($A45="","",COUNTIF($S45:$Y45,"X")+IF($R45="X",1,0))</f>
        <v/>
      </c>
      <c r="AA45" s="21" t="str">
        <f aca="false">IF($A45="","",IF($Q45=0,"자세명 확인",IF($Z45=0,"PASS","FAIL")))</f>
        <v/>
      </c>
    </row>
    <row r="46" customFormat="false" ht="15" hidden="false" customHeight="false" outlineLevel="0" collapsed="false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23" t="str">
        <f aca="false">IF($A46="","",IFERROR(MATCH($C46,'합격 기준 수치표'!$B$6:$B$13,0),0))</f>
        <v/>
      </c>
      <c r="R46" s="23" t="str">
        <f aca="false">IF($A46="","",IF(AND(E46&gt;='합격 기준 수치표'!$D$17,F46&gt;='합격 기준 수치표'!$D$18,F46&lt;='합격 기준 수치표'!$D$19,G46&gt;='합격 기준 수치표'!$D$20,G46&lt;='합격 기준 수치표'!$D$21,P46&lt;='합격 기준 수치표'!$D$23,OR(H46&lt;='합격 기준 수치표'!$D$24,O46="",O46&lt;='합격 기준 수치표'!$D$22)),"OK","X"))</f>
        <v/>
      </c>
      <c r="S46" s="23" t="str">
        <f aca="false">IF($A46="","",IF($Q46=0,"?",IF(AND(INDEX('합격 기준 수치표'!$D$6:$D$13,$Q46)="",INDEX('합격 기준 수치표'!$E$6:$E$13,$Q46)=""),"-",IF(H46="","N/A",IF(OR(AND(INDEX('합격 기준 수치표'!$D$6:$D$13,$Q46)&lt;&gt;"",H46&lt;INDEX('합격 기준 수치표'!$D$6:$D$13,$Q46)),AND(INDEX('합격 기준 수치표'!$E$6:$E$13,$Q46)&lt;&gt;"",H46&gt;INDEX('합격 기준 수치표'!$E$6:$E$13,$Q46))),"X","OK")))))</f>
        <v/>
      </c>
      <c r="T46" s="23" t="str">
        <f aca="false">IF($A46="","",IF($Q46=0,"?",IF(AND(INDEX('합격 기준 수치표'!$F$6:$F$13,$Q46)="",INDEX('합격 기준 수치표'!$G$6:$G$13,$Q46)=""),"-",IF(I46="","N/A",IF(OR(AND(INDEX('합격 기준 수치표'!$F$6:$F$13,$Q46)&lt;&gt;"",I46&lt;INDEX('합격 기준 수치표'!$F$6:$F$13,$Q46)),AND(INDEX('합격 기준 수치표'!$G$6:$G$13,$Q46)&lt;&gt;"",I46&gt;INDEX('합격 기준 수치표'!$G$6:$G$13,$Q46))),"X","OK")))))</f>
        <v/>
      </c>
      <c r="U46" s="23" t="str">
        <f aca="false">IF($A46="","",IF($Q46=0,"?",IF(AND(INDEX('합격 기준 수치표'!$H$6:$H$13,$Q46)="",INDEX('합격 기준 수치표'!$I$6:$I$13,$Q46)=""),"-",IF(J46="","N/A",IF(OR(AND(INDEX('합격 기준 수치표'!$H$6:$H$13,$Q46)&lt;&gt;"",J46&lt;INDEX('합격 기준 수치표'!$H$6:$H$13,$Q46)),AND(INDEX('합격 기준 수치표'!$I$6:$I$13,$Q46)&lt;&gt;"",J46&gt;INDEX('합격 기준 수치표'!$I$6:$I$13,$Q46))),"X","OK")))))</f>
        <v/>
      </c>
      <c r="V46" s="23" t="str">
        <f aca="false">IF($A46="","",IF($Q46=0,"?",IF(AND(INDEX('합격 기준 수치표'!$J$6:$J$13,$Q46)="",INDEX('합격 기준 수치표'!$K$6:$K$13,$Q46)=""),"-",IF(K46="","N/A",IF(OR(AND(INDEX('합격 기준 수치표'!$J$6:$J$13,$Q46)&lt;&gt;"",K46&lt;INDEX('합격 기준 수치표'!$J$6:$J$13,$Q46)),AND(INDEX('합격 기준 수치표'!$K$6:$K$13,$Q46)&lt;&gt;"",K46&gt;INDEX('합격 기준 수치표'!$K$6:$K$13,$Q46))),"X","OK")))))</f>
        <v/>
      </c>
      <c r="W46" s="23" t="str">
        <f aca="false">IF($A46="","",IF($Q46=0,"?",IF(AND(INDEX('합격 기준 수치표'!$L$6:$L$13,$Q46)="",INDEX('합격 기준 수치표'!$M$6:$M$13,$Q46)=""),"-",IF(L46="","N/A",IF(OR(AND(INDEX('합격 기준 수치표'!$L$6:$L$13,$Q46)&lt;&gt;"",L46&lt;INDEX('합격 기준 수치표'!$L$6:$L$13,$Q46)),AND(INDEX('합격 기준 수치표'!$M$6:$M$13,$Q46)&lt;&gt;"",L46&gt;INDEX('합격 기준 수치표'!$M$6:$M$13,$Q46))),"X","OK")))))</f>
        <v/>
      </c>
      <c r="X46" s="23" t="str">
        <f aca="false">IF($A46="","",IF($Q46=0,"?",IF(AND(INDEX('합격 기준 수치표'!$N$6:$N$13,$Q46)="",INDEX('합격 기준 수치표'!$O$6:$O$13,$Q46)=""),"-",IF(M46="","N/A",IF(OR(AND(INDEX('합격 기준 수치표'!$N$6:$N$13,$Q46)&lt;&gt;"",M46&lt;INDEX('합격 기준 수치표'!$N$6:$N$13,$Q46)),AND(INDEX('합격 기준 수치표'!$O$6:$O$13,$Q46)&lt;&gt;"",M46&gt;INDEX('합격 기준 수치표'!$O$6:$O$13,$Q46))),"X","OK")))))</f>
        <v/>
      </c>
      <c r="Y46" s="23" t="str">
        <f aca="false">IF($A46="","",IF($Q46=0,"?",IF(AND(INDEX('합격 기준 수치표'!$P$6:$P$13,$Q46)="",INDEX('합격 기준 수치표'!$Q$6:$Q$13,$Q46)=""),"-",IF(N46="","N/A",IF(OR(AND(INDEX('합격 기준 수치표'!$P$6:$P$13,$Q46)&lt;&gt;"",N46&lt;INDEX('합격 기준 수치표'!$P$6:$P$13,$Q46)),AND(INDEX('합격 기준 수치표'!$Q$6:$Q$13,$Q46)&lt;&gt;"",N46&gt;INDEX('합격 기준 수치표'!$Q$6:$Q$13,$Q46))),"X","OK")))))</f>
        <v/>
      </c>
      <c r="Z46" s="48" t="str">
        <f aca="false">IF($A46="","",COUNTIF($S46:$Y46,"X")+IF($R46="X",1,0))</f>
        <v/>
      </c>
      <c r="AA46" s="21" t="str">
        <f aca="false">IF($A46="","",IF($Q46=0,"자세명 확인",IF($Z46=0,"PASS","FAIL")))</f>
        <v/>
      </c>
    </row>
    <row r="47" customFormat="false" ht="15" hidden="false" customHeight="false" outlineLevel="0" collapsed="false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23" t="str">
        <f aca="false">IF($A47="","",IFERROR(MATCH($C47,'합격 기준 수치표'!$B$6:$B$13,0),0))</f>
        <v/>
      </c>
      <c r="R47" s="23" t="str">
        <f aca="false">IF($A47="","",IF(AND(E47&gt;='합격 기준 수치표'!$D$17,F47&gt;='합격 기준 수치표'!$D$18,F47&lt;='합격 기준 수치표'!$D$19,G47&gt;='합격 기준 수치표'!$D$20,G47&lt;='합격 기준 수치표'!$D$21,P47&lt;='합격 기준 수치표'!$D$23,OR(H47&lt;='합격 기준 수치표'!$D$24,O47="",O47&lt;='합격 기준 수치표'!$D$22)),"OK","X"))</f>
        <v/>
      </c>
      <c r="S47" s="23" t="str">
        <f aca="false">IF($A47="","",IF($Q47=0,"?",IF(AND(INDEX('합격 기준 수치표'!$D$6:$D$13,$Q47)="",INDEX('합격 기준 수치표'!$E$6:$E$13,$Q47)=""),"-",IF(H47="","N/A",IF(OR(AND(INDEX('합격 기준 수치표'!$D$6:$D$13,$Q47)&lt;&gt;"",H47&lt;INDEX('합격 기준 수치표'!$D$6:$D$13,$Q47)),AND(INDEX('합격 기준 수치표'!$E$6:$E$13,$Q47)&lt;&gt;"",H47&gt;INDEX('합격 기준 수치표'!$E$6:$E$13,$Q47))),"X","OK")))))</f>
        <v/>
      </c>
      <c r="T47" s="23" t="str">
        <f aca="false">IF($A47="","",IF($Q47=0,"?",IF(AND(INDEX('합격 기준 수치표'!$F$6:$F$13,$Q47)="",INDEX('합격 기준 수치표'!$G$6:$G$13,$Q47)=""),"-",IF(I47="","N/A",IF(OR(AND(INDEX('합격 기준 수치표'!$F$6:$F$13,$Q47)&lt;&gt;"",I47&lt;INDEX('합격 기준 수치표'!$F$6:$F$13,$Q47)),AND(INDEX('합격 기준 수치표'!$G$6:$G$13,$Q47)&lt;&gt;"",I47&gt;INDEX('합격 기준 수치표'!$G$6:$G$13,$Q47))),"X","OK")))))</f>
        <v/>
      </c>
      <c r="U47" s="23" t="str">
        <f aca="false">IF($A47="","",IF($Q47=0,"?",IF(AND(INDEX('합격 기준 수치표'!$H$6:$H$13,$Q47)="",INDEX('합격 기준 수치표'!$I$6:$I$13,$Q47)=""),"-",IF(J47="","N/A",IF(OR(AND(INDEX('합격 기준 수치표'!$H$6:$H$13,$Q47)&lt;&gt;"",J47&lt;INDEX('합격 기준 수치표'!$H$6:$H$13,$Q47)),AND(INDEX('합격 기준 수치표'!$I$6:$I$13,$Q47)&lt;&gt;"",J47&gt;INDEX('합격 기준 수치표'!$I$6:$I$13,$Q47))),"X","OK")))))</f>
        <v/>
      </c>
      <c r="V47" s="23" t="str">
        <f aca="false">IF($A47="","",IF($Q47=0,"?",IF(AND(INDEX('합격 기준 수치표'!$J$6:$J$13,$Q47)="",INDEX('합격 기준 수치표'!$K$6:$K$13,$Q47)=""),"-",IF(K47="","N/A",IF(OR(AND(INDEX('합격 기준 수치표'!$J$6:$J$13,$Q47)&lt;&gt;"",K47&lt;INDEX('합격 기준 수치표'!$J$6:$J$13,$Q47)),AND(INDEX('합격 기준 수치표'!$K$6:$K$13,$Q47)&lt;&gt;"",K47&gt;INDEX('합격 기준 수치표'!$K$6:$K$13,$Q47))),"X","OK")))))</f>
        <v/>
      </c>
      <c r="W47" s="23" t="str">
        <f aca="false">IF($A47="","",IF($Q47=0,"?",IF(AND(INDEX('합격 기준 수치표'!$L$6:$L$13,$Q47)="",INDEX('합격 기준 수치표'!$M$6:$M$13,$Q47)=""),"-",IF(L47="","N/A",IF(OR(AND(INDEX('합격 기준 수치표'!$L$6:$L$13,$Q47)&lt;&gt;"",L47&lt;INDEX('합격 기준 수치표'!$L$6:$L$13,$Q47)),AND(INDEX('합격 기준 수치표'!$M$6:$M$13,$Q47)&lt;&gt;"",L47&gt;INDEX('합격 기준 수치표'!$M$6:$M$13,$Q47))),"X","OK")))))</f>
        <v/>
      </c>
      <c r="X47" s="23" t="str">
        <f aca="false">IF($A47="","",IF($Q47=0,"?",IF(AND(INDEX('합격 기준 수치표'!$N$6:$N$13,$Q47)="",INDEX('합격 기준 수치표'!$O$6:$O$13,$Q47)=""),"-",IF(M47="","N/A",IF(OR(AND(INDEX('합격 기준 수치표'!$N$6:$N$13,$Q47)&lt;&gt;"",M47&lt;INDEX('합격 기준 수치표'!$N$6:$N$13,$Q47)),AND(INDEX('합격 기준 수치표'!$O$6:$O$13,$Q47)&lt;&gt;"",M47&gt;INDEX('합격 기준 수치표'!$O$6:$O$13,$Q47))),"X","OK")))))</f>
        <v/>
      </c>
      <c r="Y47" s="23" t="str">
        <f aca="false">IF($A47="","",IF($Q47=0,"?",IF(AND(INDEX('합격 기준 수치표'!$P$6:$P$13,$Q47)="",INDEX('합격 기준 수치표'!$Q$6:$Q$13,$Q47)=""),"-",IF(N47="","N/A",IF(OR(AND(INDEX('합격 기준 수치표'!$P$6:$P$13,$Q47)&lt;&gt;"",N47&lt;INDEX('합격 기준 수치표'!$P$6:$P$13,$Q47)),AND(INDEX('합격 기준 수치표'!$Q$6:$Q$13,$Q47)&lt;&gt;"",N47&gt;INDEX('합격 기준 수치표'!$Q$6:$Q$13,$Q47))),"X","OK")))))</f>
        <v/>
      </c>
      <c r="Z47" s="48" t="str">
        <f aca="false">IF($A47="","",COUNTIF($S47:$Y47,"X")+IF($R47="X",1,0))</f>
        <v/>
      </c>
      <c r="AA47" s="21" t="str">
        <f aca="false">IF($A47="","",IF($Q47=0,"자세명 확인",IF($Z47=0,"PASS","FAIL")))</f>
        <v/>
      </c>
    </row>
    <row r="48" customFormat="false" ht="15" hidden="false" customHeight="false" outlineLevel="0" collapsed="false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23" t="str">
        <f aca="false">IF($A48="","",IFERROR(MATCH($C48,'합격 기준 수치표'!$B$6:$B$13,0),0))</f>
        <v/>
      </c>
      <c r="R48" s="23" t="str">
        <f aca="false">IF($A48="","",IF(AND(E48&gt;='합격 기준 수치표'!$D$17,F48&gt;='합격 기준 수치표'!$D$18,F48&lt;='합격 기준 수치표'!$D$19,G48&gt;='합격 기준 수치표'!$D$20,G48&lt;='합격 기준 수치표'!$D$21,P48&lt;='합격 기준 수치표'!$D$23,OR(H48&lt;='합격 기준 수치표'!$D$24,O48="",O48&lt;='합격 기준 수치표'!$D$22)),"OK","X"))</f>
        <v/>
      </c>
      <c r="S48" s="23" t="str">
        <f aca="false">IF($A48="","",IF($Q48=0,"?",IF(AND(INDEX('합격 기준 수치표'!$D$6:$D$13,$Q48)="",INDEX('합격 기준 수치표'!$E$6:$E$13,$Q48)=""),"-",IF(H48="","N/A",IF(OR(AND(INDEX('합격 기준 수치표'!$D$6:$D$13,$Q48)&lt;&gt;"",H48&lt;INDEX('합격 기준 수치표'!$D$6:$D$13,$Q48)),AND(INDEX('합격 기준 수치표'!$E$6:$E$13,$Q48)&lt;&gt;"",H48&gt;INDEX('합격 기준 수치표'!$E$6:$E$13,$Q48))),"X","OK")))))</f>
        <v/>
      </c>
      <c r="T48" s="23" t="str">
        <f aca="false">IF($A48="","",IF($Q48=0,"?",IF(AND(INDEX('합격 기준 수치표'!$F$6:$F$13,$Q48)="",INDEX('합격 기준 수치표'!$G$6:$G$13,$Q48)=""),"-",IF(I48="","N/A",IF(OR(AND(INDEX('합격 기준 수치표'!$F$6:$F$13,$Q48)&lt;&gt;"",I48&lt;INDEX('합격 기준 수치표'!$F$6:$F$13,$Q48)),AND(INDEX('합격 기준 수치표'!$G$6:$G$13,$Q48)&lt;&gt;"",I48&gt;INDEX('합격 기준 수치표'!$G$6:$G$13,$Q48))),"X","OK")))))</f>
        <v/>
      </c>
      <c r="U48" s="23" t="str">
        <f aca="false">IF($A48="","",IF($Q48=0,"?",IF(AND(INDEX('합격 기준 수치표'!$H$6:$H$13,$Q48)="",INDEX('합격 기준 수치표'!$I$6:$I$13,$Q48)=""),"-",IF(J48="","N/A",IF(OR(AND(INDEX('합격 기준 수치표'!$H$6:$H$13,$Q48)&lt;&gt;"",J48&lt;INDEX('합격 기준 수치표'!$H$6:$H$13,$Q48)),AND(INDEX('합격 기준 수치표'!$I$6:$I$13,$Q48)&lt;&gt;"",J48&gt;INDEX('합격 기준 수치표'!$I$6:$I$13,$Q48))),"X","OK")))))</f>
        <v/>
      </c>
      <c r="V48" s="23" t="str">
        <f aca="false">IF($A48="","",IF($Q48=0,"?",IF(AND(INDEX('합격 기준 수치표'!$J$6:$J$13,$Q48)="",INDEX('합격 기준 수치표'!$K$6:$K$13,$Q48)=""),"-",IF(K48="","N/A",IF(OR(AND(INDEX('합격 기준 수치표'!$J$6:$J$13,$Q48)&lt;&gt;"",K48&lt;INDEX('합격 기준 수치표'!$J$6:$J$13,$Q48)),AND(INDEX('합격 기준 수치표'!$K$6:$K$13,$Q48)&lt;&gt;"",K48&gt;INDEX('합격 기준 수치표'!$K$6:$K$13,$Q48))),"X","OK")))))</f>
        <v/>
      </c>
      <c r="W48" s="23" t="str">
        <f aca="false">IF($A48="","",IF($Q48=0,"?",IF(AND(INDEX('합격 기준 수치표'!$L$6:$L$13,$Q48)="",INDEX('합격 기준 수치표'!$M$6:$M$13,$Q48)=""),"-",IF(L48="","N/A",IF(OR(AND(INDEX('합격 기준 수치표'!$L$6:$L$13,$Q48)&lt;&gt;"",L48&lt;INDEX('합격 기준 수치표'!$L$6:$L$13,$Q48)),AND(INDEX('합격 기준 수치표'!$M$6:$M$13,$Q48)&lt;&gt;"",L48&gt;INDEX('합격 기준 수치표'!$M$6:$M$13,$Q48))),"X","OK")))))</f>
        <v/>
      </c>
      <c r="X48" s="23" t="str">
        <f aca="false">IF($A48="","",IF($Q48=0,"?",IF(AND(INDEX('합격 기준 수치표'!$N$6:$N$13,$Q48)="",INDEX('합격 기준 수치표'!$O$6:$O$13,$Q48)=""),"-",IF(M48="","N/A",IF(OR(AND(INDEX('합격 기준 수치표'!$N$6:$N$13,$Q48)&lt;&gt;"",M48&lt;INDEX('합격 기준 수치표'!$N$6:$N$13,$Q48)),AND(INDEX('합격 기준 수치표'!$O$6:$O$13,$Q48)&lt;&gt;"",M48&gt;INDEX('합격 기준 수치표'!$O$6:$O$13,$Q48))),"X","OK")))))</f>
        <v/>
      </c>
      <c r="Y48" s="23" t="str">
        <f aca="false">IF($A48="","",IF($Q48=0,"?",IF(AND(INDEX('합격 기준 수치표'!$P$6:$P$13,$Q48)="",INDEX('합격 기준 수치표'!$Q$6:$Q$13,$Q48)=""),"-",IF(N48="","N/A",IF(OR(AND(INDEX('합격 기준 수치표'!$P$6:$P$13,$Q48)&lt;&gt;"",N48&lt;INDEX('합격 기준 수치표'!$P$6:$P$13,$Q48)),AND(INDEX('합격 기준 수치표'!$Q$6:$Q$13,$Q48)&lt;&gt;"",N48&gt;INDEX('합격 기준 수치표'!$Q$6:$Q$13,$Q48))),"X","OK")))))</f>
        <v/>
      </c>
      <c r="Z48" s="48" t="str">
        <f aca="false">IF($A48="","",COUNTIF($S48:$Y48,"X")+IF($R48="X",1,0))</f>
        <v/>
      </c>
      <c r="AA48" s="21" t="str">
        <f aca="false">IF($A48="","",IF($Q48=0,"자세명 확인",IF($Z48=0,"PASS","FAIL")))</f>
        <v/>
      </c>
    </row>
    <row r="49" customFormat="false" ht="15" hidden="false" customHeight="false" outlineLevel="0" collapsed="false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23" t="str">
        <f aca="false">IF($A49="","",IFERROR(MATCH($C49,'합격 기준 수치표'!$B$6:$B$13,0),0))</f>
        <v/>
      </c>
      <c r="R49" s="23" t="str">
        <f aca="false">IF($A49="","",IF(AND(E49&gt;='합격 기준 수치표'!$D$17,F49&gt;='합격 기준 수치표'!$D$18,F49&lt;='합격 기준 수치표'!$D$19,G49&gt;='합격 기준 수치표'!$D$20,G49&lt;='합격 기준 수치표'!$D$21,P49&lt;='합격 기준 수치표'!$D$23,OR(H49&lt;='합격 기준 수치표'!$D$24,O49="",O49&lt;='합격 기준 수치표'!$D$22)),"OK","X"))</f>
        <v/>
      </c>
      <c r="S49" s="23" t="str">
        <f aca="false">IF($A49="","",IF($Q49=0,"?",IF(AND(INDEX('합격 기준 수치표'!$D$6:$D$13,$Q49)="",INDEX('합격 기준 수치표'!$E$6:$E$13,$Q49)=""),"-",IF(H49="","N/A",IF(OR(AND(INDEX('합격 기준 수치표'!$D$6:$D$13,$Q49)&lt;&gt;"",H49&lt;INDEX('합격 기준 수치표'!$D$6:$D$13,$Q49)),AND(INDEX('합격 기준 수치표'!$E$6:$E$13,$Q49)&lt;&gt;"",H49&gt;INDEX('합격 기준 수치표'!$E$6:$E$13,$Q49))),"X","OK")))))</f>
        <v/>
      </c>
      <c r="T49" s="23" t="str">
        <f aca="false">IF($A49="","",IF($Q49=0,"?",IF(AND(INDEX('합격 기준 수치표'!$F$6:$F$13,$Q49)="",INDEX('합격 기준 수치표'!$G$6:$G$13,$Q49)=""),"-",IF(I49="","N/A",IF(OR(AND(INDEX('합격 기준 수치표'!$F$6:$F$13,$Q49)&lt;&gt;"",I49&lt;INDEX('합격 기준 수치표'!$F$6:$F$13,$Q49)),AND(INDEX('합격 기준 수치표'!$G$6:$G$13,$Q49)&lt;&gt;"",I49&gt;INDEX('합격 기준 수치표'!$G$6:$G$13,$Q49))),"X","OK")))))</f>
        <v/>
      </c>
      <c r="U49" s="23" t="str">
        <f aca="false">IF($A49="","",IF($Q49=0,"?",IF(AND(INDEX('합격 기준 수치표'!$H$6:$H$13,$Q49)="",INDEX('합격 기준 수치표'!$I$6:$I$13,$Q49)=""),"-",IF(J49="","N/A",IF(OR(AND(INDEX('합격 기준 수치표'!$H$6:$H$13,$Q49)&lt;&gt;"",J49&lt;INDEX('합격 기준 수치표'!$H$6:$H$13,$Q49)),AND(INDEX('합격 기준 수치표'!$I$6:$I$13,$Q49)&lt;&gt;"",J49&gt;INDEX('합격 기준 수치표'!$I$6:$I$13,$Q49))),"X","OK")))))</f>
        <v/>
      </c>
      <c r="V49" s="23" t="str">
        <f aca="false">IF($A49="","",IF($Q49=0,"?",IF(AND(INDEX('합격 기준 수치표'!$J$6:$J$13,$Q49)="",INDEX('합격 기준 수치표'!$K$6:$K$13,$Q49)=""),"-",IF(K49="","N/A",IF(OR(AND(INDEX('합격 기준 수치표'!$J$6:$J$13,$Q49)&lt;&gt;"",K49&lt;INDEX('합격 기준 수치표'!$J$6:$J$13,$Q49)),AND(INDEX('합격 기준 수치표'!$K$6:$K$13,$Q49)&lt;&gt;"",K49&gt;INDEX('합격 기준 수치표'!$K$6:$K$13,$Q49))),"X","OK")))))</f>
        <v/>
      </c>
      <c r="W49" s="23" t="str">
        <f aca="false">IF($A49="","",IF($Q49=0,"?",IF(AND(INDEX('합격 기준 수치표'!$L$6:$L$13,$Q49)="",INDEX('합격 기준 수치표'!$M$6:$M$13,$Q49)=""),"-",IF(L49="","N/A",IF(OR(AND(INDEX('합격 기준 수치표'!$L$6:$L$13,$Q49)&lt;&gt;"",L49&lt;INDEX('합격 기준 수치표'!$L$6:$L$13,$Q49)),AND(INDEX('합격 기준 수치표'!$M$6:$M$13,$Q49)&lt;&gt;"",L49&gt;INDEX('합격 기준 수치표'!$M$6:$M$13,$Q49))),"X","OK")))))</f>
        <v/>
      </c>
      <c r="X49" s="23" t="str">
        <f aca="false">IF($A49="","",IF($Q49=0,"?",IF(AND(INDEX('합격 기준 수치표'!$N$6:$N$13,$Q49)="",INDEX('합격 기준 수치표'!$O$6:$O$13,$Q49)=""),"-",IF(M49="","N/A",IF(OR(AND(INDEX('합격 기준 수치표'!$N$6:$N$13,$Q49)&lt;&gt;"",M49&lt;INDEX('합격 기준 수치표'!$N$6:$N$13,$Q49)),AND(INDEX('합격 기준 수치표'!$O$6:$O$13,$Q49)&lt;&gt;"",M49&gt;INDEX('합격 기준 수치표'!$O$6:$O$13,$Q49))),"X","OK")))))</f>
        <v/>
      </c>
      <c r="Y49" s="23" t="str">
        <f aca="false">IF($A49="","",IF($Q49=0,"?",IF(AND(INDEX('합격 기준 수치표'!$P$6:$P$13,$Q49)="",INDEX('합격 기준 수치표'!$Q$6:$Q$13,$Q49)=""),"-",IF(N49="","N/A",IF(OR(AND(INDEX('합격 기준 수치표'!$P$6:$P$13,$Q49)&lt;&gt;"",N49&lt;INDEX('합격 기준 수치표'!$P$6:$P$13,$Q49)),AND(INDEX('합격 기준 수치표'!$Q$6:$Q$13,$Q49)&lt;&gt;"",N49&gt;INDEX('합격 기준 수치표'!$Q$6:$Q$13,$Q49))),"X","OK")))))</f>
        <v/>
      </c>
      <c r="Z49" s="48" t="str">
        <f aca="false">IF($A49="","",COUNTIF($S49:$Y49,"X")+IF($R49="X",1,0))</f>
        <v/>
      </c>
      <c r="AA49" s="21" t="str">
        <f aca="false">IF($A49="","",IF($Q49=0,"자세명 확인",IF($Z49=0,"PASS","FAIL")))</f>
        <v/>
      </c>
    </row>
    <row r="50" customFormat="false" ht="15" hidden="false" customHeight="false" outlineLevel="0" collapsed="false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23" t="str">
        <f aca="false">IF($A50="","",IFERROR(MATCH($C50,'합격 기준 수치표'!$B$6:$B$13,0),0))</f>
        <v/>
      </c>
      <c r="R50" s="23" t="str">
        <f aca="false">IF($A50="","",IF(AND(E50&gt;='합격 기준 수치표'!$D$17,F50&gt;='합격 기준 수치표'!$D$18,F50&lt;='합격 기준 수치표'!$D$19,G50&gt;='합격 기준 수치표'!$D$20,G50&lt;='합격 기준 수치표'!$D$21,P50&lt;='합격 기준 수치표'!$D$23,OR(H50&lt;='합격 기준 수치표'!$D$24,O50="",O50&lt;='합격 기준 수치표'!$D$22)),"OK","X"))</f>
        <v/>
      </c>
      <c r="S50" s="23" t="str">
        <f aca="false">IF($A50="","",IF($Q50=0,"?",IF(AND(INDEX('합격 기준 수치표'!$D$6:$D$13,$Q50)="",INDEX('합격 기준 수치표'!$E$6:$E$13,$Q50)=""),"-",IF(H50="","N/A",IF(OR(AND(INDEX('합격 기준 수치표'!$D$6:$D$13,$Q50)&lt;&gt;"",H50&lt;INDEX('합격 기준 수치표'!$D$6:$D$13,$Q50)),AND(INDEX('합격 기준 수치표'!$E$6:$E$13,$Q50)&lt;&gt;"",H50&gt;INDEX('합격 기준 수치표'!$E$6:$E$13,$Q50))),"X","OK")))))</f>
        <v/>
      </c>
      <c r="T50" s="23" t="str">
        <f aca="false">IF($A50="","",IF($Q50=0,"?",IF(AND(INDEX('합격 기준 수치표'!$F$6:$F$13,$Q50)="",INDEX('합격 기준 수치표'!$G$6:$G$13,$Q50)=""),"-",IF(I50="","N/A",IF(OR(AND(INDEX('합격 기준 수치표'!$F$6:$F$13,$Q50)&lt;&gt;"",I50&lt;INDEX('합격 기준 수치표'!$F$6:$F$13,$Q50)),AND(INDEX('합격 기준 수치표'!$G$6:$G$13,$Q50)&lt;&gt;"",I50&gt;INDEX('합격 기준 수치표'!$G$6:$G$13,$Q50))),"X","OK")))))</f>
        <v/>
      </c>
      <c r="U50" s="23" t="str">
        <f aca="false">IF($A50="","",IF($Q50=0,"?",IF(AND(INDEX('합격 기준 수치표'!$H$6:$H$13,$Q50)="",INDEX('합격 기준 수치표'!$I$6:$I$13,$Q50)=""),"-",IF(J50="","N/A",IF(OR(AND(INDEX('합격 기준 수치표'!$H$6:$H$13,$Q50)&lt;&gt;"",J50&lt;INDEX('합격 기준 수치표'!$H$6:$H$13,$Q50)),AND(INDEX('합격 기준 수치표'!$I$6:$I$13,$Q50)&lt;&gt;"",J50&gt;INDEX('합격 기준 수치표'!$I$6:$I$13,$Q50))),"X","OK")))))</f>
        <v/>
      </c>
      <c r="V50" s="23" t="str">
        <f aca="false">IF($A50="","",IF($Q50=0,"?",IF(AND(INDEX('합격 기준 수치표'!$J$6:$J$13,$Q50)="",INDEX('합격 기준 수치표'!$K$6:$K$13,$Q50)=""),"-",IF(K50="","N/A",IF(OR(AND(INDEX('합격 기준 수치표'!$J$6:$J$13,$Q50)&lt;&gt;"",K50&lt;INDEX('합격 기준 수치표'!$J$6:$J$13,$Q50)),AND(INDEX('합격 기준 수치표'!$K$6:$K$13,$Q50)&lt;&gt;"",K50&gt;INDEX('합격 기준 수치표'!$K$6:$K$13,$Q50))),"X","OK")))))</f>
        <v/>
      </c>
      <c r="W50" s="23" t="str">
        <f aca="false">IF($A50="","",IF($Q50=0,"?",IF(AND(INDEX('합격 기준 수치표'!$L$6:$L$13,$Q50)="",INDEX('합격 기준 수치표'!$M$6:$M$13,$Q50)=""),"-",IF(L50="","N/A",IF(OR(AND(INDEX('합격 기준 수치표'!$L$6:$L$13,$Q50)&lt;&gt;"",L50&lt;INDEX('합격 기준 수치표'!$L$6:$L$13,$Q50)),AND(INDEX('합격 기준 수치표'!$M$6:$M$13,$Q50)&lt;&gt;"",L50&gt;INDEX('합격 기준 수치표'!$M$6:$M$13,$Q50))),"X","OK")))))</f>
        <v/>
      </c>
      <c r="X50" s="23" t="str">
        <f aca="false">IF($A50="","",IF($Q50=0,"?",IF(AND(INDEX('합격 기준 수치표'!$N$6:$N$13,$Q50)="",INDEX('합격 기준 수치표'!$O$6:$O$13,$Q50)=""),"-",IF(M50="","N/A",IF(OR(AND(INDEX('합격 기준 수치표'!$N$6:$N$13,$Q50)&lt;&gt;"",M50&lt;INDEX('합격 기준 수치표'!$N$6:$N$13,$Q50)),AND(INDEX('합격 기준 수치표'!$O$6:$O$13,$Q50)&lt;&gt;"",M50&gt;INDEX('합격 기준 수치표'!$O$6:$O$13,$Q50))),"X","OK")))))</f>
        <v/>
      </c>
      <c r="Y50" s="23" t="str">
        <f aca="false">IF($A50="","",IF($Q50=0,"?",IF(AND(INDEX('합격 기준 수치표'!$P$6:$P$13,$Q50)="",INDEX('합격 기준 수치표'!$Q$6:$Q$13,$Q50)=""),"-",IF(N50="","N/A",IF(OR(AND(INDEX('합격 기준 수치표'!$P$6:$P$13,$Q50)&lt;&gt;"",N50&lt;INDEX('합격 기준 수치표'!$P$6:$P$13,$Q50)),AND(INDEX('합격 기준 수치표'!$Q$6:$Q$13,$Q50)&lt;&gt;"",N50&gt;INDEX('합격 기준 수치표'!$Q$6:$Q$13,$Q50))),"X","OK")))))</f>
        <v/>
      </c>
      <c r="Z50" s="48" t="str">
        <f aca="false">IF($A50="","",COUNTIF($S50:$Y50,"X")+IF($R50="X",1,0))</f>
        <v/>
      </c>
      <c r="AA50" s="21" t="str">
        <f aca="false">IF($A50="","",IF($Q50=0,"자세명 확인",IF($Z50=0,"PASS","FAIL")))</f>
        <v/>
      </c>
    </row>
    <row r="51" customFormat="false" ht="15" hidden="false" customHeight="false" outlineLevel="0" collapsed="false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23" t="str">
        <f aca="false">IF($A51="","",IFERROR(MATCH($C51,'합격 기준 수치표'!$B$6:$B$13,0),0))</f>
        <v/>
      </c>
      <c r="R51" s="23" t="str">
        <f aca="false">IF($A51="","",IF(AND(E51&gt;='합격 기준 수치표'!$D$17,F51&gt;='합격 기준 수치표'!$D$18,F51&lt;='합격 기준 수치표'!$D$19,G51&gt;='합격 기준 수치표'!$D$20,G51&lt;='합격 기준 수치표'!$D$21,P51&lt;='합격 기준 수치표'!$D$23,OR(H51&lt;='합격 기준 수치표'!$D$24,O51="",O51&lt;='합격 기준 수치표'!$D$22)),"OK","X"))</f>
        <v/>
      </c>
      <c r="S51" s="23" t="str">
        <f aca="false">IF($A51="","",IF($Q51=0,"?",IF(AND(INDEX('합격 기준 수치표'!$D$6:$D$13,$Q51)="",INDEX('합격 기준 수치표'!$E$6:$E$13,$Q51)=""),"-",IF(H51="","N/A",IF(OR(AND(INDEX('합격 기준 수치표'!$D$6:$D$13,$Q51)&lt;&gt;"",H51&lt;INDEX('합격 기준 수치표'!$D$6:$D$13,$Q51)),AND(INDEX('합격 기준 수치표'!$E$6:$E$13,$Q51)&lt;&gt;"",H51&gt;INDEX('합격 기준 수치표'!$E$6:$E$13,$Q51))),"X","OK")))))</f>
        <v/>
      </c>
      <c r="T51" s="23" t="str">
        <f aca="false">IF($A51="","",IF($Q51=0,"?",IF(AND(INDEX('합격 기준 수치표'!$F$6:$F$13,$Q51)="",INDEX('합격 기준 수치표'!$G$6:$G$13,$Q51)=""),"-",IF(I51="","N/A",IF(OR(AND(INDEX('합격 기준 수치표'!$F$6:$F$13,$Q51)&lt;&gt;"",I51&lt;INDEX('합격 기준 수치표'!$F$6:$F$13,$Q51)),AND(INDEX('합격 기준 수치표'!$G$6:$G$13,$Q51)&lt;&gt;"",I51&gt;INDEX('합격 기준 수치표'!$G$6:$G$13,$Q51))),"X","OK")))))</f>
        <v/>
      </c>
      <c r="U51" s="23" t="str">
        <f aca="false">IF($A51="","",IF($Q51=0,"?",IF(AND(INDEX('합격 기준 수치표'!$H$6:$H$13,$Q51)="",INDEX('합격 기준 수치표'!$I$6:$I$13,$Q51)=""),"-",IF(J51="","N/A",IF(OR(AND(INDEX('합격 기준 수치표'!$H$6:$H$13,$Q51)&lt;&gt;"",J51&lt;INDEX('합격 기준 수치표'!$H$6:$H$13,$Q51)),AND(INDEX('합격 기준 수치표'!$I$6:$I$13,$Q51)&lt;&gt;"",J51&gt;INDEX('합격 기준 수치표'!$I$6:$I$13,$Q51))),"X","OK")))))</f>
        <v/>
      </c>
      <c r="V51" s="23" t="str">
        <f aca="false">IF($A51="","",IF($Q51=0,"?",IF(AND(INDEX('합격 기준 수치표'!$J$6:$J$13,$Q51)="",INDEX('합격 기준 수치표'!$K$6:$K$13,$Q51)=""),"-",IF(K51="","N/A",IF(OR(AND(INDEX('합격 기준 수치표'!$J$6:$J$13,$Q51)&lt;&gt;"",K51&lt;INDEX('합격 기준 수치표'!$J$6:$J$13,$Q51)),AND(INDEX('합격 기준 수치표'!$K$6:$K$13,$Q51)&lt;&gt;"",K51&gt;INDEX('합격 기준 수치표'!$K$6:$K$13,$Q51))),"X","OK")))))</f>
        <v/>
      </c>
      <c r="W51" s="23" t="str">
        <f aca="false">IF($A51="","",IF($Q51=0,"?",IF(AND(INDEX('합격 기준 수치표'!$L$6:$L$13,$Q51)="",INDEX('합격 기준 수치표'!$M$6:$M$13,$Q51)=""),"-",IF(L51="","N/A",IF(OR(AND(INDEX('합격 기준 수치표'!$L$6:$L$13,$Q51)&lt;&gt;"",L51&lt;INDEX('합격 기준 수치표'!$L$6:$L$13,$Q51)),AND(INDEX('합격 기준 수치표'!$M$6:$M$13,$Q51)&lt;&gt;"",L51&gt;INDEX('합격 기준 수치표'!$M$6:$M$13,$Q51))),"X","OK")))))</f>
        <v/>
      </c>
      <c r="X51" s="23" t="str">
        <f aca="false">IF($A51="","",IF($Q51=0,"?",IF(AND(INDEX('합격 기준 수치표'!$N$6:$N$13,$Q51)="",INDEX('합격 기준 수치표'!$O$6:$O$13,$Q51)=""),"-",IF(M51="","N/A",IF(OR(AND(INDEX('합격 기준 수치표'!$N$6:$N$13,$Q51)&lt;&gt;"",M51&lt;INDEX('합격 기준 수치표'!$N$6:$N$13,$Q51)),AND(INDEX('합격 기준 수치표'!$O$6:$O$13,$Q51)&lt;&gt;"",M51&gt;INDEX('합격 기준 수치표'!$O$6:$O$13,$Q51))),"X","OK")))))</f>
        <v/>
      </c>
      <c r="Y51" s="23" t="str">
        <f aca="false">IF($A51="","",IF($Q51=0,"?",IF(AND(INDEX('합격 기준 수치표'!$P$6:$P$13,$Q51)="",INDEX('합격 기준 수치표'!$Q$6:$Q$13,$Q51)=""),"-",IF(N51="","N/A",IF(OR(AND(INDEX('합격 기준 수치표'!$P$6:$P$13,$Q51)&lt;&gt;"",N51&lt;INDEX('합격 기준 수치표'!$P$6:$P$13,$Q51)),AND(INDEX('합격 기준 수치표'!$Q$6:$Q$13,$Q51)&lt;&gt;"",N51&gt;INDEX('합격 기준 수치표'!$Q$6:$Q$13,$Q51))),"X","OK")))))</f>
        <v/>
      </c>
      <c r="Z51" s="48" t="str">
        <f aca="false">IF($A51="","",COUNTIF($S51:$Y51,"X")+IF($R51="X",1,0))</f>
        <v/>
      </c>
      <c r="AA51" s="21" t="str">
        <f aca="false">IF($A51="","",IF($Q51=0,"자세명 확인",IF($Z51=0,"PASS","FAIL")))</f>
        <v/>
      </c>
    </row>
    <row r="52" customFormat="false" ht="15" hidden="false" customHeight="false" outlineLevel="0" collapsed="false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23" t="str">
        <f aca="false">IF($A52="","",IFERROR(MATCH($C52,'합격 기준 수치표'!$B$6:$B$13,0),0))</f>
        <v/>
      </c>
      <c r="R52" s="23" t="str">
        <f aca="false">IF($A52="","",IF(AND(E52&gt;='합격 기준 수치표'!$D$17,F52&gt;='합격 기준 수치표'!$D$18,F52&lt;='합격 기준 수치표'!$D$19,G52&gt;='합격 기준 수치표'!$D$20,G52&lt;='합격 기준 수치표'!$D$21,P52&lt;='합격 기준 수치표'!$D$23,OR(H52&lt;='합격 기준 수치표'!$D$24,O52="",O52&lt;='합격 기준 수치표'!$D$22)),"OK","X"))</f>
        <v/>
      </c>
      <c r="S52" s="23" t="str">
        <f aca="false">IF($A52="","",IF($Q52=0,"?",IF(AND(INDEX('합격 기준 수치표'!$D$6:$D$13,$Q52)="",INDEX('합격 기준 수치표'!$E$6:$E$13,$Q52)=""),"-",IF(H52="","N/A",IF(OR(AND(INDEX('합격 기준 수치표'!$D$6:$D$13,$Q52)&lt;&gt;"",H52&lt;INDEX('합격 기준 수치표'!$D$6:$D$13,$Q52)),AND(INDEX('합격 기준 수치표'!$E$6:$E$13,$Q52)&lt;&gt;"",H52&gt;INDEX('합격 기준 수치표'!$E$6:$E$13,$Q52))),"X","OK")))))</f>
        <v/>
      </c>
      <c r="T52" s="23" t="str">
        <f aca="false">IF($A52="","",IF($Q52=0,"?",IF(AND(INDEX('합격 기준 수치표'!$F$6:$F$13,$Q52)="",INDEX('합격 기준 수치표'!$G$6:$G$13,$Q52)=""),"-",IF(I52="","N/A",IF(OR(AND(INDEX('합격 기준 수치표'!$F$6:$F$13,$Q52)&lt;&gt;"",I52&lt;INDEX('합격 기준 수치표'!$F$6:$F$13,$Q52)),AND(INDEX('합격 기준 수치표'!$G$6:$G$13,$Q52)&lt;&gt;"",I52&gt;INDEX('합격 기준 수치표'!$G$6:$G$13,$Q52))),"X","OK")))))</f>
        <v/>
      </c>
      <c r="U52" s="23" t="str">
        <f aca="false">IF($A52="","",IF($Q52=0,"?",IF(AND(INDEX('합격 기준 수치표'!$H$6:$H$13,$Q52)="",INDEX('합격 기준 수치표'!$I$6:$I$13,$Q52)=""),"-",IF(J52="","N/A",IF(OR(AND(INDEX('합격 기준 수치표'!$H$6:$H$13,$Q52)&lt;&gt;"",J52&lt;INDEX('합격 기준 수치표'!$H$6:$H$13,$Q52)),AND(INDEX('합격 기준 수치표'!$I$6:$I$13,$Q52)&lt;&gt;"",J52&gt;INDEX('합격 기준 수치표'!$I$6:$I$13,$Q52))),"X","OK")))))</f>
        <v/>
      </c>
      <c r="V52" s="23" t="str">
        <f aca="false">IF($A52="","",IF($Q52=0,"?",IF(AND(INDEX('합격 기준 수치표'!$J$6:$J$13,$Q52)="",INDEX('합격 기준 수치표'!$K$6:$K$13,$Q52)=""),"-",IF(K52="","N/A",IF(OR(AND(INDEX('합격 기준 수치표'!$J$6:$J$13,$Q52)&lt;&gt;"",K52&lt;INDEX('합격 기준 수치표'!$J$6:$J$13,$Q52)),AND(INDEX('합격 기준 수치표'!$K$6:$K$13,$Q52)&lt;&gt;"",K52&gt;INDEX('합격 기준 수치표'!$K$6:$K$13,$Q52))),"X","OK")))))</f>
        <v/>
      </c>
      <c r="W52" s="23" t="str">
        <f aca="false">IF($A52="","",IF($Q52=0,"?",IF(AND(INDEX('합격 기준 수치표'!$L$6:$L$13,$Q52)="",INDEX('합격 기준 수치표'!$M$6:$M$13,$Q52)=""),"-",IF(L52="","N/A",IF(OR(AND(INDEX('합격 기준 수치표'!$L$6:$L$13,$Q52)&lt;&gt;"",L52&lt;INDEX('합격 기준 수치표'!$L$6:$L$13,$Q52)),AND(INDEX('합격 기준 수치표'!$M$6:$M$13,$Q52)&lt;&gt;"",L52&gt;INDEX('합격 기준 수치표'!$M$6:$M$13,$Q52))),"X","OK")))))</f>
        <v/>
      </c>
      <c r="X52" s="23" t="str">
        <f aca="false">IF($A52="","",IF($Q52=0,"?",IF(AND(INDEX('합격 기준 수치표'!$N$6:$N$13,$Q52)="",INDEX('합격 기준 수치표'!$O$6:$O$13,$Q52)=""),"-",IF(M52="","N/A",IF(OR(AND(INDEX('합격 기준 수치표'!$N$6:$N$13,$Q52)&lt;&gt;"",M52&lt;INDEX('합격 기준 수치표'!$N$6:$N$13,$Q52)),AND(INDEX('합격 기준 수치표'!$O$6:$O$13,$Q52)&lt;&gt;"",M52&gt;INDEX('합격 기준 수치표'!$O$6:$O$13,$Q52))),"X","OK")))))</f>
        <v/>
      </c>
      <c r="Y52" s="23" t="str">
        <f aca="false">IF($A52="","",IF($Q52=0,"?",IF(AND(INDEX('합격 기준 수치표'!$P$6:$P$13,$Q52)="",INDEX('합격 기준 수치표'!$Q$6:$Q$13,$Q52)=""),"-",IF(N52="","N/A",IF(OR(AND(INDEX('합격 기준 수치표'!$P$6:$P$13,$Q52)&lt;&gt;"",N52&lt;INDEX('합격 기준 수치표'!$P$6:$P$13,$Q52)),AND(INDEX('합격 기준 수치표'!$Q$6:$Q$13,$Q52)&lt;&gt;"",N52&gt;INDEX('합격 기준 수치표'!$Q$6:$Q$13,$Q52))),"X","OK")))))</f>
        <v/>
      </c>
      <c r="Z52" s="48" t="str">
        <f aca="false">IF($A52="","",COUNTIF($S52:$Y52,"X")+IF($R52="X",1,0))</f>
        <v/>
      </c>
      <c r="AA52" s="21" t="str">
        <f aca="false">IF($A52="","",IF($Q52=0,"자세명 확인",IF($Z52=0,"PASS","FAIL")))</f>
        <v/>
      </c>
    </row>
    <row r="53" customFormat="false" ht="15" hidden="false" customHeight="false" outlineLevel="0" collapsed="false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23" t="str">
        <f aca="false">IF($A53="","",IFERROR(MATCH($C53,'합격 기준 수치표'!$B$6:$B$13,0),0))</f>
        <v/>
      </c>
      <c r="R53" s="23" t="str">
        <f aca="false">IF($A53="","",IF(AND(E53&gt;='합격 기준 수치표'!$D$17,F53&gt;='합격 기준 수치표'!$D$18,F53&lt;='합격 기준 수치표'!$D$19,G53&gt;='합격 기준 수치표'!$D$20,G53&lt;='합격 기준 수치표'!$D$21,P53&lt;='합격 기준 수치표'!$D$23,OR(H53&lt;='합격 기준 수치표'!$D$24,O53="",O53&lt;='합격 기준 수치표'!$D$22)),"OK","X"))</f>
        <v/>
      </c>
      <c r="S53" s="23" t="str">
        <f aca="false">IF($A53="","",IF($Q53=0,"?",IF(AND(INDEX('합격 기준 수치표'!$D$6:$D$13,$Q53)="",INDEX('합격 기준 수치표'!$E$6:$E$13,$Q53)=""),"-",IF(H53="","N/A",IF(OR(AND(INDEX('합격 기준 수치표'!$D$6:$D$13,$Q53)&lt;&gt;"",H53&lt;INDEX('합격 기준 수치표'!$D$6:$D$13,$Q53)),AND(INDEX('합격 기준 수치표'!$E$6:$E$13,$Q53)&lt;&gt;"",H53&gt;INDEX('합격 기준 수치표'!$E$6:$E$13,$Q53))),"X","OK")))))</f>
        <v/>
      </c>
      <c r="T53" s="23" t="str">
        <f aca="false">IF($A53="","",IF($Q53=0,"?",IF(AND(INDEX('합격 기준 수치표'!$F$6:$F$13,$Q53)="",INDEX('합격 기준 수치표'!$G$6:$G$13,$Q53)=""),"-",IF(I53="","N/A",IF(OR(AND(INDEX('합격 기준 수치표'!$F$6:$F$13,$Q53)&lt;&gt;"",I53&lt;INDEX('합격 기준 수치표'!$F$6:$F$13,$Q53)),AND(INDEX('합격 기준 수치표'!$G$6:$G$13,$Q53)&lt;&gt;"",I53&gt;INDEX('합격 기준 수치표'!$G$6:$G$13,$Q53))),"X","OK")))))</f>
        <v/>
      </c>
      <c r="U53" s="23" t="str">
        <f aca="false">IF($A53="","",IF($Q53=0,"?",IF(AND(INDEX('합격 기준 수치표'!$H$6:$H$13,$Q53)="",INDEX('합격 기준 수치표'!$I$6:$I$13,$Q53)=""),"-",IF(J53="","N/A",IF(OR(AND(INDEX('합격 기준 수치표'!$H$6:$H$13,$Q53)&lt;&gt;"",J53&lt;INDEX('합격 기준 수치표'!$H$6:$H$13,$Q53)),AND(INDEX('합격 기준 수치표'!$I$6:$I$13,$Q53)&lt;&gt;"",J53&gt;INDEX('합격 기준 수치표'!$I$6:$I$13,$Q53))),"X","OK")))))</f>
        <v/>
      </c>
      <c r="V53" s="23" t="str">
        <f aca="false">IF($A53="","",IF($Q53=0,"?",IF(AND(INDEX('합격 기준 수치표'!$J$6:$J$13,$Q53)="",INDEX('합격 기준 수치표'!$K$6:$K$13,$Q53)=""),"-",IF(K53="","N/A",IF(OR(AND(INDEX('합격 기준 수치표'!$J$6:$J$13,$Q53)&lt;&gt;"",K53&lt;INDEX('합격 기준 수치표'!$J$6:$J$13,$Q53)),AND(INDEX('합격 기준 수치표'!$K$6:$K$13,$Q53)&lt;&gt;"",K53&gt;INDEX('합격 기준 수치표'!$K$6:$K$13,$Q53))),"X","OK")))))</f>
        <v/>
      </c>
      <c r="W53" s="23" t="str">
        <f aca="false">IF($A53="","",IF($Q53=0,"?",IF(AND(INDEX('합격 기준 수치표'!$L$6:$L$13,$Q53)="",INDEX('합격 기준 수치표'!$M$6:$M$13,$Q53)=""),"-",IF(L53="","N/A",IF(OR(AND(INDEX('합격 기준 수치표'!$L$6:$L$13,$Q53)&lt;&gt;"",L53&lt;INDEX('합격 기준 수치표'!$L$6:$L$13,$Q53)),AND(INDEX('합격 기준 수치표'!$M$6:$M$13,$Q53)&lt;&gt;"",L53&gt;INDEX('합격 기준 수치표'!$M$6:$M$13,$Q53))),"X","OK")))))</f>
        <v/>
      </c>
      <c r="X53" s="23" t="str">
        <f aca="false">IF($A53="","",IF($Q53=0,"?",IF(AND(INDEX('합격 기준 수치표'!$N$6:$N$13,$Q53)="",INDEX('합격 기준 수치표'!$O$6:$O$13,$Q53)=""),"-",IF(M53="","N/A",IF(OR(AND(INDEX('합격 기준 수치표'!$N$6:$N$13,$Q53)&lt;&gt;"",M53&lt;INDEX('합격 기준 수치표'!$N$6:$N$13,$Q53)),AND(INDEX('합격 기준 수치표'!$O$6:$O$13,$Q53)&lt;&gt;"",M53&gt;INDEX('합격 기준 수치표'!$O$6:$O$13,$Q53))),"X","OK")))))</f>
        <v/>
      </c>
      <c r="Y53" s="23" t="str">
        <f aca="false">IF($A53="","",IF($Q53=0,"?",IF(AND(INDEX('합격 기준 수치표'!$P$6:$P$13,$Q53)="",INDEX('합격 기준 수치표'!$Q$6:$Q$13,$Q53)=""),"-",IF(N53="","N/A",IF(OR(AND(INDEX('합격 기준 수치표'!$P$6:$P$13,$Q53)&lt;&gt;"",N53&lt;INDEX('합격 기준 수치표'!$P$6:$P$13,$Q53)),AND(INDEX('합격 기준 수치표'!$Q$6:$Q$13,$Q53)&lt;&gt;"",N53&gt;INDEX('합격 기준 수치표'!$Q$6:$Q$13,$Q53))),"X","OK")))))</f>
        <v/>
      </c>
      <c r="Z53" s="48" t="str">
        <f aca="false">IF($A53="","",COUNTIF($S53:$Y53,"X")+IF($R53="X",1,0))</f>
        <v/>
      </c>
      <c r="AA53" s="21" t="str">
        <f aca="false">IF($A53="","",IF($Q53=0,"자세명 확인",IF($Z53=0,"PASS","FAIL")))</f>
        <v/>
      </c>
    </row>
    <row r="54" customFormat="false" ht="15" hidden="false" customHeight="false" outlineLevel="0" collapsed="false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23" t="str">
        <f aca="false">IF($A54="","",IFERROR(MATCH($C54,'합격 기준 수치표'!$B$6:$B$13,0),0))</f>
        <v/>
      </c>
      <c r="R54" s="23" t="str">
        <f aca="false">IF($A54="","",IF(AND(E54&gt;='합격 기준 수치표'!$D$17,F54&gt;='합격 기준 수치표'!$D$18,F54&lt;='합격 기준 수치표'!$D$19,G54&gt;='합격 기준 수치표'!$D$20,G54&lt;='합격 기준 수치표'!$D$21,P54&lt;='합격 기준 수치표'!$D$23,OR(H54&lt;='합격 기준 수치표'!$D$24,O54="",O54&lt;='합격 기준 수치표'!$D$22)),"OK","X"))</f>
        <v/>
      </c>
      <c r="S54" s="23" t="str">
        <f aca="false">IF($A54="","",IF($Q54=0,"?",IF(AND(INDEX('합격 기준 수치표'!$D$6:$D$13,$Q54)="",INDEX('합격 기준 수치표'!$E$6:$E$13,$Q54)=""),"-",IF(H54="","N/A",IF(OR(AND(INDEX('합격 기준 수치표'!$D$6:$D$13,$Q54)&lt;&gt;"",H54&lt;INDEX('합격 기준 수치표'!$D$6:$D$13,$Q54)),AND(INDEX('합격 기준 수치표'!$E$6:$E$13,$Q54)&lt;&gt;"",H54&gt;INDEX('합격 기준 수치표'!$E$6:$E$13,$Q54))),"X","OK")))))</f>
        <v/>
      </c>
      <c r="T54" s="23" t="str">
        <f aca="false">IF($A54="","",IF($Q54=0,"?",IF(AND(INDEX('합격 기준 수치표'!$F$6:$F$13,$Q54)="",INDEX('합격 기준 수치표'!$G$6:$G$13,$Q54)=""),"-",IF(I54="","N/A",IF(OR(AND(INDEX('합격 기준 수치표'!$F$6:$F$13,$Q54)&lt;&gt;"",I54&lt;INDEX('합격 기준 수치표'!$F$6:$F$13,$Q54)),AND(INDEX('합격 기준 수치표'!$G$6:$G$13,$Q54)&lt;&gt;"",I54&gt;INDEX('합격 기준 수치표'!$G$6:$G$13,$Q54))),"X","OK")))))</f>
        <v/>
      </c>
      <c r="U54" s="23" t="str">
        <f aca="false">IF($A54="","",IF($Q54=0,"?",IF(AND(INDEX('합격 기준 수치표'!$H$6:$H$13,$Q54)="",INDEX('합격 기준 수치표'!$I$6:$I$13,$Q54)=""),"-",IF(J54="","N/A",IF(OR(AND(INDEX('합격 기준 수치표'!$H$6:$H$13,$Q54)&lt;&gt;"",J54&lt;INDEX('합격 기준 수치표'!$H$6:$H$13,$Q54)),AND(INDEX('합격 기준 수치표'!$I$6:$I$13,$Q54)&lt;&gt;"",J54&gt;INDEX('합격 기준 수치표'!$I$6:$I$13,$Q54))),"X","OK")))))</f>
        <v/>
      </c>
      <c r="V54" s="23" t="str">
        <f aca="false">IF($A54="","",IF($Q54=0,"?",IF(AND(INDEX('합격 기준 수치표'!$J$6:$J$13,$Q54)="",INDEX('합격 기준 수치표'!$K$6:$K$13,$Q54)=""),"-",IF(K54="","N/A",IF(OR(AND(INDEX('합격 기준 수치표'!$J$6:$J$13,$Q54)&lt;&gt;"",K54&lt;INDEX('합격 기준 수치표'!$J$6:$J$13,$Q54)),AND(INDEX('합격 기준 수치표'!$K$6:$K$13,$Q54)&lt;&gt;"",K54&gt;INDEX('합격 기준 수치표'!$K$6:$K$13,$Q54))),"X","OK")))))</f>
        <v/>
      </c>
      <c r="W54" s="23" t="str">
        <f aca="false">IF($A54="","",IF($Q54=0,"?",IF(AND(INDEX('합격 기준 수치표'!$L$6:$L$13,$Q54)="",INDEX('합격 기준 수치표'!$M$6:$M$13,$Q54)=""),"-",IF(L54="","N/A",IF(OR(AND(INDEX('합격 기준 수치표'!$L$6:$L$13,$Q54)&lt;&gt;"",L54&lt;INDEX('합격 기준 수치표'!$L$6:$L$13,$Q54)),AND(INDEX('합격 기준 수치표'!$M$6:$M$13,$Q54)&lt;&gt;"",L54&gt;INDEX('합격 기준 수치표'!$M$6:$M$13,$Q54))),"X","OK")))))</f>
        <v/>
      </c>
      <c r="X54" s="23" t="str">
        <f aca="false">IF($A54="","",IF($Q54=0,"?",IF(AND(INDEX('합격 기준 수치표'!$N$6:$N$13,$Q54)="",INDEX('합격 기준 수치표'!$O$6:$O$13,$Q54)=""),"-",IF(M54="","N/A",IF(OR(AND(INDEX('합격 기준 수치표'!$N$6:$N$13,$Q54)&lt;&gt;"",M54&lt;INDEX('합격 기준 수치표'!$N$6:$N$13,$Q54)),AND(INDEX('합격 기준 수치표'!$O$6:$O$13,$Q54)&lt;&gt;"",M54&gt;INDEX('합격 기준 수치표'!$O$6:$O$13,$Q54))),"X","OK")))))</f>
        <v/>
      </c>
      <c r="Y54" s="23" t="str">
        <f aca="false">IF($A54="","",IF($Q54=0,"?",IF(AND(INDEX('합격 기준 수치표'!$P$6:$P$13,$Q54)="",INDEX('합격 기준 수치표'!$Q$6:$Q$13,$Q54)=""),"-",IF(N54="","N/A",IF(OR(AND(INDEX('합격 기준 수치표'!$P$6:$P$13,$Q54)&lt;&gt;"",N54&lt;INDEX('합격 기준 수치표'!$P$6:$P$13,$Q54)),AND(INDEX('합격 기준 수치표'!$Q$6:$Q$13,$Q54)&lt;&gt;"",N54&gt;INDEX('합격 기준 수치표'!$Q$6:$Q$13,$Q54))),"X","OK")))))</f>
        <v/>
      </c>
      <c r="Z54" s="48" t="str">
        <f aca="false">IF($A54="","",COUNTIF($S54:$Y54,"X")+IF($R54="X",1,0))</f>
        <v/>
      </c>
      <c r="AA54" s="21" t="str">
        <f aca="false">IF($A54="","",IF($Q54=0,"자세명 확인",IF($Z54=0,"PASS","FAIL")))</f>
        <v/>
      </c>
    </row>
    <row r="55" customFormat="false" ht="15" hidden="false" customHeight="false" outlineLevel="0" collapsed="false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23" t="str">
        <f aca="false">IF($A55="","",IFERROR(MATCH($C55,'합격 기준 수치표'!$B$6:$B$13,0),0))</f>
        <v/>
      </c>
      <c r="R55" s="23" t="str">
        <f aca="false">IF($A55="","",IF(AND(E55&gt;='합격 기준 수치표'!$D$17,F55&gt;='합격 기준 수치표'!$D$18,F55&lt;='합격 기준 수치표'!$D$19,G55&gt;='합격 기준 수치표'!$D$20,G55&lt;='합격 기준 수치표'!$D$21,P55&lt;='합격 기준 수치표'!$D$23,OR(H55&lt;='합격 기준 수치표'!$D$24,O55="",O55&lt;='합격 기준 수치표'!$D$22)),"OK","X"))</f>
        <v/>
      </c>
      <c r="S55" s="23" t="str">
        <f aca="false">IF($A55="","",IF($Q55=0,"?",IF(AND(INDEX('합격 기준 수치표'!$D$6:$D$13,$Q55)="",INDEX('합격 기준 수치표'!$E$6:$E$13,$Q55)=""),"-",IF(H55="","N/A",IF(OR(AND(INDEX('합격 기준 수치표'!$D$6:$D$13,$Q55)&lt;&gt;"",H55&lt;INDEX('합격 기준 수치표'!$D$6:$D$13,$Q55)),AND(INDEX('합격 기준 수치표'!$E$6:$E$13,$Q55)&lt;&gt;"",H55&gt;INDEX('합격 기준 수치표'!$E$6:$E$13,$Q55))),"X","OK")))))</f>
        <v/>
      </c>
      <c r="T55" s="23" t="str">
        <f aca="false">IF($A55="","",IF($Q55=0,"?",IF(AND(INDEX('합격 기준 수치표'!$F$6:$F$13,$Q55)="",INDEX('합격 기준 수치표'!$G$6:$G$13,$Q55)=""),"-",IF(I55="","N/A",IF(OR(AND(INDEX('합격 기준 수치표'!$F$6:$F$13,$Q55)&lt;&gt;"",I55&lt;INDEX('합격 기준 수치표'!$F$6:$F$13,$Q55)),AND(INDEX('합격 기준 수치표'!$G$6:$G$13,$Q55)&lt;&gt;"",I55&gt;INDEX('합격 기준 수치표'!$G$6:$G$13,$Q55))),"X","OK")))))</f>
        <v/>
      </c>
      <c r="U55" s="23" t="str">
        <f aca="false">IF($A55="","",IF($Q55=0,"?",IF(AND(INDEX('합격 기준 수치표'!$H$6:$H$13,$Q55)="",INDEX('합격 기준 수치표'!$I$6:$I$13,$Q55)=""),"-",IF(J55="","N/A",IF(OR(AND(INDEX('합격 기준 수치표'!$H$6:$H$13,$Q55)&lt;&gt;"",J55&lt;INDEX('합격 기준 수치표'!$H$6:$H$13,$Q55)),AND(INDEX('합격 기준 수치표'!$I$6:$I$13,$Q55)&lt;&gt;"",J55&gt;INDEX('합격 기준 수치표'!$I$6:$I$13,$Q55))),"X","OK")))))</f>
        <v/>
      </c>
      <c r="V55" s="23" t="str">
        <f aca="false">IF($A55="","",IF($Q55=0,"?",IF(AND(INDEX('합격 기준 수치표'!$J$6:$J$13,$Q55)="",INDEX('합격 기준 수치표'!$K$6:$K$13,$Q55)=""),"-",IF(K55="","N/A",IF(OR(AND(INDEX('합격 기준 수치표'!$J$6:$J$13,$Q55)&lt;&gt;"",K55&lt;INDEX('합격 기준 수치표'!$J$6:$J$13,$Q55)),AND(INDEX('합격 기준 수치표'!$K$6:$K$13,$Q55)&lt;&gt;"",K55&gt;INDEX('합격 기준 수치표'!$K$6:$K$13,$Q55))),"X","OK")))))</f>
        <v/>
      </c>
      <c r="W55" s="23" t="str">
        <f aca="false">IF($A55="","",IF($Q55=0,"?",IF(AND(INDEX('합격 기준 수치표'!$L$6:$L$13,$Q55)="",INDEX('합격 기준 수치표'!$M$6:$M$13,$Q55)=""),"-",IF(L55="","N/A",IF(OR(AND(INDEX('합격 기준 수치표'!$L$6:$L$13,$Q55)&lt;&gt;"",L55&lt;INDEX('합격 기준 수치표'!$L$6:$L$13,$Q55)),AND(INDEX('합격 기준 수치표'!$M$6:$M$13,$Q55)&lt;&gt;"",L55&gt;INDEX('합격 기준 수치표'!$M$6:$M$13,$Q55))),"X","OK")))))</f>
        <v/>
      </c>
      <c r="X55" s="23" t="str">
        <f aca="false">IF($A55="","",IF($Q55=0,"?",IF(AND(INDEX('합격 기준 수치표'!$N$6:$N$13,$Q55)="",INDEX('합격 기준 수치표'!$O$6:$O$13,$Q55)=""),"-",IF(M55="","N/A",IF(OR(AND(INDEX('합격 기준 수치표'!$N$6:$N$13,$Q55)&lt;&gt;"",M55&lt;INDEX('합격 기준 수치표'!$N$6:$N$13,$Q55)),AND(INDEX('합격 기준 수치표'!$O$6:$O$13,$Q55)&lt;&gt;"",M55&gt;INDEX('합격 기준 수치표'!$O$6:$O$13,$Q55))),"X","OK")))))</f>
        <v/>
      </c>
      <c r="Y55" s="23" t="str">
        <f aca="false">IF($A55="","",IF($Q55=0,"?",IF(AND(INDEX('합격 기준 수치표'!$P$6:$P$13,$Q55)="",INDEX('합격 기준 수치표'!$Q$6:$Q$13,$Q55)=""),"-",IF(N55="","N/A",IF(OR(AND(INDEX('합격 기준 수치표'!$P$6:$P$13,$Q55)&lt;&gt;"",N55&lt;INDEX('합격 기준 수치표'!$P$6:$P$13,$Q55)),AND(INDEX('합격 기준 수치표'!$Q$6:$Q$13,$Q55)&lt;&gt;"",N55&gt;INDEX('합격 기준 수치표'!$Q$6:$Q$13,$Q55))),"X","OK")))))</f>
        <v/>
      </c>
      <c r="Z55" s="48" t="str">
        <f aca="false">IF($A55="","",COUNTIF($S55:$Y55,"X")+IF($R55="X",1,0))</f>
        <v/>
      </c>
      <c r="AA55" s="21" t="str">
        <f aca="false">IF($A55="","",IF($Q55=0,"자세명 확인",IF($Z55=0,"PASS","FAIL")))</f>
        <v/>
      </c>
    </row>
    <row r="56" customFormat="false" ht="15" hidden="false" customHeight="false" outlineLevel="0" collapsed="false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23" t="str">
        <f aca="false">IF($A56="","",IFERROR(MATCH($C56,'합격 기준 수치표'!$B$6:$B$13,0),0))</f>
        <v/>
      </c>
      <c r="R56" s="23" t="str">
        <f aca="false">IF($A56="","",IF(AND(E56&gt;='합격 기준 수치표'!$D$17,F56&gt;='합격 기준 수치표'!$D$18,F56&lt;='합격 기준 수치표'!$D$19,G56&gt;='합격 기준 수치표'!$D$20,G56&lt;='합격 기준 수치표'!$D$21,P56&lt;='합격 기준 수치표'!$D$23,OR(H56&lt;='합격 기준 수치표'!$D$24,O56="",O56&lt;='합격 기준 수치표'!$D$22)),"OK","X"))</f>
        <v/>
      </c>
      <c r="S56" s="23" t="str">
        <f aca="false">IF($A56="","",IF($Q56=0,"?",IF(AND(INDEX('합격 기준 수치표'!$D$6:$D$13,$Q56)="",INDEX('합격 기준 수치표'!$E$6:$E$13,$Q56)=""),"-",IF(H56="","N/A",IF(OR(AND(INDEX('합격 기준 수치표'!$D$6:$D$13,$Q56)&lt;&gt;"",H56&lt;INDEX('합격 기준 수치표'!$D$6:$D$13,$Q56)),AND(INDEX('합격 기준 수치표'!$E$6:$E$13,$Q56)&lt;&gt;"",H56&gt;INDEX('합격 기준 수치표'!$E$6:$E$13,$Q56))),"X","OK")))))</f>
        <v/>
      </c>
      <c r="T56" s="23" t="str">
        <f aca="false">IF($A56="","",IF($Q56=0,"?",IF(AND(INDEX('합격 기준 수치표'!$F$6:$F$13,$Q56)="",INDEX('합격 기준 수치표'!$G$6:$G$13,$Q56)=""),"-",IF(I56="","N/A",IF(OR(AND(INDEX('합격 기준 수치표'!$F$6:$F$13,$Q56)&lt;&gt;"",I56&lt;INDEX('합격 기준 수치표'!$F$6:$F$13,$Q56)),AND(INDEX('합격 기준 수치표'!$G$6:$G$13,$Q56)&lt;&gt;"",I56&gt;INDEX('합격 기준 수치표'!$G$6:$G$13,$Q56))),"X","OK")))))</f>
        <v/>
      </c>
      <c r="U56" s="23" t="str">
        <f aca="false">IF($A56="","",IF($Q56=0,"?",IF(AND(INDEX('합격 기준 수치표'!$H$6:$H$13,$Q56)="",INDEX('합격 기준 수치표'!$I$6:$I$13,$Q56)=""),"-",IF(J56="","N/A",IF(OR(AND(INDEX('합격 기준 수치표'!$H$6:$H$13,$Q56)&lt;&gt;"",J56&lt;INDEX('합격 기준 수치표'!$H$6:$H$13,$Q56)),AND(INDEX('합격 기준 수치표'!$I$6:$I$13,$Q56)&lt;&gt;"",J56&gt;INDEX('합격 기준 수치표'!$I$6:$I$13,$Q56))),"X","OK")))))</f>
        <v/>
      </c>
      <c r="V56" s="23" t="str">
        <f aca="false">IF($A56="","",IF($Q56=0,"?",IF(AND(INDEX('합격 기준 수치표'!$J$6:$J$13,$Q56)="",INDEX('합격 기준 수치표'!$K$6:$K$13,$Q56)=""),"-",IF(K56="","N/A",IF(OR(AND(INDEX('합격 기준 수치표'!$J$6:$J$13,$Q56)&lt;&gt;"",K56&lt;INDEX('합격 기준 수치표'!$J$6:$J$13,$Q56)),AND(INDEX('합격 기준 수치표'!$K$6:$K$13,$Q56)&lt;&gt;"",K56&gt;INDEX('합격 기준 수치표'!$K$6:$K$13,$Q56))),"X","OK")))))</f>
        <v/>
      </c>
      <c r="W56" s="23" t="str">
        <f aca="false">IF($A56="","",IF($Q56=0,"?",IF(AND(INDEX('합격 기준 수치표'!$L$6:$L$13,$Q56)="",INDEX('합격 기준 수치표'!$M$6:$M$13,$Q56)=""),"-",IF(L56="","N/A",IF(OR(AND(INDEX('합격 기준 수치표'!$L$6:$L$13,$Q56)&lt;&gt;"",L56&lt;INDEX('합격 기준 수치표'!$L$6:$L$13,$Q56)),AND(INDEX('합격 기준 수치표'!$M$6:$M$13,$Q56)&lt;&gt;"",L56&gt;INDEX('합격 기준 수치표'!$M$6:$M$13,$Q56))),"X","OK")))))</f>
        <v/>
      </c>
      <c r="X56" s="23" t="str">
        <f aca="false">IF($A56="","",IF($Q56=0,"?",IF(AND(INDEX('합격 기준 수치표'!$N$6:$N$13,$Q56)="",INDEX('합격 기준 수치표'!$O$6:$O$13,$Q56)=""),"-",IF(M56="","N/A",IF(OR(AND(INDEX('합격 기준 수치표'!$N$6:$N$13,$Q56)&lt;&gt;"",M56&lt;INDEX('합격 기준 수치표'!$N$6:$N$13,$Q56)),AND(INDEX('합격 기준 수치표'!$O$6:$O$13,$Q56)&lt;&gt;"",M56&gt;INDEX('합격 기준 수치표'!$O$6:$O$13,$Q56))),"X","OK")))))</f>
        <v/>
      </c>
      <c r="Y56" s="23" t="str">
        <f aca="false">IF($A56="","",IF($Q56=0,"?",IF(AND(INDEX('합격 기준 수치표'!$P$6:$P$13,$Q56)="",INDEX('합격 기준 수치표'!$Q$6:$Q$13,$Q56)=""),"-",IF(N56="","N/A",IF(OR(AND(INDEX('합격 기준 수치표'!$P$6:$P$13,$Q56)&lt;&gt;"",N56&lt;INDEX('합격 기준 수치표'!$P$6:$P$13,$Q56)),AND(INDEX('합격 기준 수치표'!$Q$6:$Q$13,$Q56)&lt;&gt;"",N56&gt;INDEX('합격 기준 수치표'!$Q$6:$Q$13,$Q56))),"X","OK")))))</f>
        <v/>
      </c>
      <c r="Z56" s="48" t="str">
        <f aca="false">IF($A56="","",COUNTIF($S56:$Y56,"X")+IF($R56="X",1,0))</f>
        <v/>
      </c>
      <c r="AA56" s="21" t="str">
        <f aca="false">IF($A56="","",IF($Q56=0,"자세명 확인",IF($Z56=0,"PASS","FAIL")))</f>
        <v/>
      </c>
    </row>
    <row r="57" customFormat="false" ht="15" hidden="false" customHeight="false" outlineLevel="0" collapsed="false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23" t="str">
        <f aca="false">IF($A57="","",IFERROR(MATCH($C57,'합격 기준 수치표'!$B$6:$B$13,0),0))</f>
        <v/>
      </c>
      <c r="R57" s="23" t="str">
        <f aca="false">IF($A57="","",IF(AND(E57&gt;='합격 기준 수치표'!$D$17,F57&gt;='합격 기준 수치표'!$D$18,F57&lt;='합격 기준 수치표'!$D$19,G57&gt;='합격 기준 수치표'!$D$20,G57&lt;='합격 기준 수치표'!$D$21,P57&lt;='합격 기준 수치표'!$D$23,OR(H57&lt;='합격 기준 수치표'!$D$24,O57="",O57&lt;='합격 기준 수치표'!$D$22)),"OK","X"))</f>
        <v/>
      </c>
      <c r="S57" s="23" t="str">
        <f aca="false">IF($A57="","",IF($Q57=0,"?",IF(AND(INDEX('합격 기준 수치표'!$D$6:$D$13,$Q57)="",INDEX('합격 기준 수치표'!$E$6:$E$13,$Q57)=""),"-",IF(H57="","N/A",IF(OR(AND(INDEX('합격 기준 수치표'!$D$6:$D$13,$Q57)&lt;&gt;"",H57&lt;INDEX('합격 기준 수치표'!$D$6:$D$13,$Q57)),AND(INDEX('합격 기준 수치표'!$E$6:$E$13,$Q57)&lt;&gt;"",H57&gt;INDEX('합격 기준 수치표'!$E$6:$E$13,$Q57))),"X","OK")))))</f>
        <v/>
      </c>
      <c r="T57" s="23" t="str">
        <f aca="false">IF($A57="","",IF($Q57=0,"?",IF(AND(INDEX('합격 기준 수치표'!$F$6:$F$13,$Q57)="",INDEX('합격 기준 수치표'!$G$6:$G$13,$Q57)=""),"-",IF(I57="","N/A",IF(OR(AND(INDEX('합격 기준 수치표'!$F$6:$F$13,$Q57)&lt;&gt;"",I57&lt;INDEX('합격 기준 수치표'!$F$6:$F$13,$Q57)),AND(INDEX('합격 기준 수치표'!$G$6:$G$13,$Q57)&lt;&gt;"",I57&gt;INDEX('합격 기준 수치표'!$G$6:$G$13,$Q57))),"X","OK")))))</f>
        <v/>
      </c>
      <c r="U57" s="23" t="str">
        <f aca="false">IF($A57="","",IF($Q57=0,"?",IF(AND(INDEX('합격 기준 수치표'!$H$6:$H$13,$Q57)="",INDEX('합격 기준 수치표'!$I$6:$I$13,$Q57)=""),"-",IF(J57="","N/A",IF(OR(AND(INDEX('합격 기준 수치표'!$H$6:$H$13,$Q57)&lt;&gt;"",J57&lt;INDEX('합격 기준 수치표'!$H$6:$H$13,$Q57)),AND(INDEX('합격 기준 수치표'!$I$6:$I$13,$Q57)&lt;&gt;"",J57&gt;INDEX('합격 기준 수치표'!$I$6:$I$13,$Q57))),"X","OK")))))</f>
        <v/>
      </c>
      <c r="V57" s="23" t="str">
        <f aca="false">IF($A57="","",IF($Q57=0,"?",IF(AND(INDEX('합격 기준 수치표'!$J$6:$J$13,$Q57)="",INDEX('합격 기준 수치표'!$K$6:$K$13,$Q57)=""),"-",IF(K57="","N/A",IF(OR(AND(INDEX('합격 기준 수치표'!$J$6:$J$13,$Q57)&lt;&gt;"",K57&lt;INDEX('합격 기준 수치표'!$J$6:$J$13,$Q57)),AND(INDEX('합격 기준 수치표'!$K$6:$K$13,$Q57)&lt;&gt;"",K57&gt;INDEX('합격 기준 수치표'!$K$6:$K$13,$Q57))),"X","OK")))))</f>
        <v/>
      </c>
      <c r="W57" s="23" t="str">
        <f aca="false">IF($A57="","",IF($Q57=0,"?",IF(AND(INDEX('합격 기준 수치표'!$L$6:$L$13,$Q57)="",INDEX('합격 기준 수치표'!$M$6:$M$13,$Q57)=""),"-",IF(L57="","N/A",IF(OR(AND(INDEX('합격 기준 수치표'!$L$6:$L$13,$Q57)&lt;&gt;"",L57&lt;INDEX('합격 기준 수치표'!$L$6:$L$13,$Q57)),AND(INDEX('합격 기준 수치표'!$M$6:$M$13,$Q57)&lt;&gt;"",L57&gt;INDEX('합격 기준 수치표'!$M$6:$M$13,$Q57))),"X","OK")))))</f>
        <v/>
      </c>
      <c r="X57" s="23" t="str">
        <f aca="false">IF($A57="","",IF($Q57=0,"?",IF(AND(INDEX('합격 기준 수치표'!$N$6:$N$13,$Q57)="",INDEX('합격 기준 수치표'!$O$6:$O$13,$Q57)=""),"-",IF(M57="","N/A",IF(OR(AND(INDEX('합격 기준 수치표'!$N$6:$N$13,$Q57)&lt;&gt;"",M57&lt;INDEX('합격 기준 수치표'!$N$6:$N$13,$Q57)),AND(INDEX('합격 기준 수치표'!$O$6:$O$13,$Q57)&lt;&gt;"",M57&gt;INDEX('합격 기준 수치표'!$O$6:$O$13,$Q57))),"X","OK")))))</f>
        <v/>
      </c>
      <c r="Y57" s="23" t="str">
        <f aca="false">IF($A57="","",IF($Q57=0,"?",IF(AND(INDEX('합격 기준 수치표'!$P$6:$P$13,$Q57)="",INDEX('합격 기준 수치표'!$Q$6:$Q$13,$Q57)=""),"-",IF(N57="","N/A",IF(OR(AND(INDEX('합격 기준 수치표'!$P$6:$P$13,$Q57)&lt;&gt;"",N57&lt;INDEX('합격 기준 수치표'!$P$6:$P$13,$Q57)),AND(INDEX('합격 기준 수치표'!$Q$6:$Q$13,$Q57)&lt;&gt;"",N57&gt;INDEX('합격 기준 수치표'!$Q$6:$Q$13,$Q57))),"X","OK")))))</f>
        <v/>
      </c>
      <c r="Z57" s="48" t="str">
        <f aca="false">IF($A57="","",COUNTIF($S57:$Y57,"X")+IF($R57="X",1,0))</f>
        <v/>
      </c>
      <c r="AA57" s="21" t="str">
        <f aca="false">IF($A57="","",IF($Q57=0,"자세명 확인",IF($Z57=0,"PASS","FAIL")))</f>
        <v/>
      </c>
    </row>
    <row r="58" customFormat="false" ht="15" hidden="false" customHeight="false" outlineLevel="0" collapsed="false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23" t="str">
        <f aca="false">IF($A58="","",IFERROR(MATCH($C58,'합격 기준 수치표'!$B$6:$B$13,0),0))</f>
        <v/>
      </c>
      <c r="R58" s="23" t="str">
        <f aca="false">IF($A58="","",IF(AND(E58&gt;='합격 기준 수치표'!$D$17,F58&gt;='합격 기준 수치표'!$D$18,F58&lt;='합격 기준 수치표'!$D$19,G58&gt;='합격 기준 수치표'!$D$20,G58&lt;='합격 기준 수치표'!$D$21,P58&lt;='합격 기준 수치표'!$D$23,OR(H58&lt;='합격 기준 수치표'!$D$24,O58="",O58&lt;='합격 기준 수치표'!$D$22)),"OK","X"))</f>
        <v/>
      </c>
      <c r="S58" s="23" t="str">
        <f aca="false">IF($A58="","",IF($Q58=0,"?",IF(AND(INDEX('합격 기준 수치표'!$D$6:$D$13,$Q58)="",INDEX('합격 기준 수치표'!$E$6:$E$13,$Q58)=""),"-",IF(H58="","N/A",IF(OR(AND(INDEX('합격 기준 수치표'!$D$6:$D$13,$Q58)&lt;&gt;"",H58&lt;INDEX('합격 기준 수치표'!$D$6:$D$13,$Q58)),AND(INDEX('합격 기준 수치표'!$E$6:$E$13,$Q58)&lt;&gt;"",H58&gt;INDEX('합격 기준 수치표'!$E$6:$E$13,$Q58))),"X","OK")))))</f>
        <v/>
      </c>
      <c r="T58" s="23" t="str">
        <f aca="false">IF($A58="","",IF($Q58=0,"?",IF(AND(INDEX('합격 기준 수치표'!$F$6:$F$13,$Q58)="",INDEX('합격 기준 수치표'!$G$6:$G$13,$Q58)=""),"-",IF(I58="","N/A",IF(OR(AND(INDEX('합격 기준 수치표'!$F$6:$F$13,$Q58)&lt;&gt;"",I58&lt;INDEX('합격 기준 수치표'!$F$6:$F$13,$Q58)),AND(INDEX('합격 기준 수치표'!$G$6:$G$13,$Q58)&lt;&gt;"",I58&gt;INDEX('합격 기준 수치표'!$G$6:$G$13,$Q58))),"X","OK")))))</f>
        <v/>
      </c>
      <c r="U58" s="23" t="str">
        <f aca="false">IF($A58="","",IF($Q58=0,"?",IF(AND(INDEX('합격 기준 수치표'!$H$6:$H$13,$Q58)="",INDEX('합격 기준 수치표'!$I$6:$I$13,$Q58)=""),"-",IF(J58="","N/A",IF(OR(AND(INDEX('합격 기준 수치표'!$H$6:$H$13,$Q58)&lt;&gt;"",J58&lt;INDEX('합격 기준 수치표'!$H$6:$H$13,$Q58)),AND(INDEX('합격 기준 수치표'!$I$6:$I$13,$Q58)&lt;&gt;"",J58&gt;INDEX('합격 기준 수치표'!$I$6:$I$13,$Q58))),"X","OK")))))</f>
        <v/>
      </c>
      <c r="V58" s="23" t="str">
        <f aca="false">IF($A58="","",IF($Q58=0,"?",IF(AND(INDEX('합격 기준 수치표'!$J$6:$J$13,$Q58)="",INDEX('합격 기준 수치표'!$K$6:$K$13,$Q58)=""),"-",IF(K58="","N/A",IF(OR(AND(INDEX('합격 기준 수치표'!$J$6:$J$13,$Q58)&lt;&gt;"",K58&lt;INDEX('합격 기준 수치표'!$J$6:$J$13,$Q58)),AND(INDEX('합격 기준 수치표'!$K$6:$K$13,$Q58)&lt;&gt;"",K58&gt;INDEX('합격 기준 수치표'!$K$6:$K$13,$Q58))),"X","OK")))))</f>
        <v/>
      </c>
      <c r="W58" s="23" t="str">
        <f aca="false">IF($A58="","",IF($Q58=0,"?",IF(AND(INDEX('합격 기준 수치표'!$L$6:$L$13,$Q58)="",INDEX('합격 기준 수치표'!$M$6:$M$13,$Q58)=""),"-",IF(L58="","N/A",IF(OR(AND(INDEX('합격 기준 수치표'!$L$6:$L$13,$Q58)&lt;&gt;"",L58&lt;INDEX('합격 기준 수치표'!$L$6:$L$13,$Q58)),AND(INDEX('합격 기준 수치표'!$M$6:$M$13,$Q58)&lt;&gt;"",L58&gt;INDEX('합격 기준 수치표'!$M$6:$M$13,$Q58))),"X","OK")))))</f>
        <v/>
      </c>
      <c r="X58" s="23" t="str">
        <f aca="false">IF($A58="","",IF($Q58=0,"?",IF(AND(INDEX('합격 기준 수치표'!$N$6:$N$13,$Q58)="",INDEX('합격 기준 수치표'!$O$6:$O$13,$Q58)=""),"-",IF(M58="","N/A",IF(OR(AND(INDEX('합격 기준 수치표'!$N$6:$N$13,$Q58)&lt;&gt;"",M58&lt;INDEX('합격 기준 수치표'!$N$6:$N$13,$Q58)),AND(INDEX('합격 기준 수치표'!$O$6:$O$13,$Q58)&lt;&gt;"",M58&gt;INDEX('합격 기준 수치표'!$O$6:$O$13,$Q58))),"X","OK")))))</f>
        <v/>
      </c>
      <c r="Y58" s="23" t="str">
        <f aca="false">IF($A58="","",IF($Q58=0,"?",IF(AND(INDEX('합격 기준 수치표'!$P$6:$P$13,$Q58)="",INDEX('합격 기준 수치표'!$Q$6:$Q$13,$Q58)=""),"-",IF(N58="","N/A",IF(OR(AND(INDEX('합격 기준 수치표'!$P$6:$P$13,$Q58)&lt;&gt;"",N58&lt;INDEX('합격 기준 수치표'!$P$6:$P$13,$Q58)),AND(INDEX('합격 기준 수치표'!$Q$6:$Q$13,$Q58)&lt;&gt;"",N58&gt;INDEX('합격 기준 수치표'!$Q$6:$Q$13,$Q58))),"X","OK")))))</f>
        <v/>
      </c>
      <c r="Z58" s="48" t="str">
        <f aca="false">IF($A58="","",COUNTIF($S58:$Y58,"X")+IF($R58="X",1,0))</f>
        <v/>
      </c>
      <c r="AA58" s="21" t="str">
        <f aca="false">IF($A58="","",IF($Q58=0,"자세명 확인",IF($Z58=0,"PASS","FAIL")))</f>
        <v/>
      </c>
    </row>
    <row r="59" customFormat="false" ht="15" hidden="false" customHeight="false" outlineLevel="0" collapsed="false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23" t="str">
        <f aca="false">IF($A59="","",IFERROR(MATCH($C59,'합격 기준 수치표'!$B$6:$B$13,0),0))</f>
        <v/>
      </c>
      <c r="R59" s="23" t="str">
        <f aca="false">IF($A59="","",IF(AND(E59&gt;='합격 기준 수치표'!$D$17,F59&gt;='합격 기준 수치표'!$D$18,F59&lt;='합격 기준 수치표'!$D$19,G59&gt;='합격 기준 수치표'!$D$20,G59&lt;='합격 기준 수치표'!$D$21,P59&lt;='합격 기준 수치표'!$D$23,OR(H59&lt;='합격 기준 수치표'!$D$24,O59="",O59&lt;='합격 기준 수치표'!$D$22)),"OK","X"))</f>
        <v/>
      </c>
      <c r="S59" s="23" t="str">
        <f aca="false">IF($A59="","",IF($Q59=0,"?",IF(AND(INDEX('합격 기준 수치표'!$D$6:$D$13,$Q59)="",INDEX('합격 기준 수치표'!$E$6:$E$13,$Q59)=""),"-",IF(H59="","N/A",IF(OR(AND(INDEX('합격 기준 수치표'!$D$6:$D$13,$Q59)&lt;&gt;"",H59&lt;INDEX('합격 기준 수치표'!$D$6:$D$13,$Q59)),AND(INDEX('합격 기준 수치표'!$E$6:$E$13,$Q59)&lt;&gt;"",H59&gt;INDEX('합격 기준 수치표'!$E$6:$E$13,$Q59))),"X","OK")))))</f>
        <v/>
      </c>
      <c r="T59" s="23" t="str">
        <f aca="false">IF($A59="","",IF($Q59=0,"?",IF(AND(INDEX('합격 기준 수치표'!$F$6:$F$13,$Q59)="",INDEX('합격 기준 수치표'!$G$6:$G$13,$Q59)=""),"-",IF(I59="","N/A",IF(OR(AND(INDEX('합격 기준 수치표'!$F$6:$F$13,$Q59)&lt;&gt;"",I59&lt;INDEX('합격 기준 수치표'!$F$6:$F$13,$Q59)),AND(INDEX('합격 기준 수치표'!$G$6:$G$13,$Q59)&lt;&gt;"",I59&gt;INDEX('합격 기준 수치표'!$G$6:$G$13,$Q59))),"X","OK")))))</f>
        <v/>
      </c>
      <c r="U59" s="23" t="str">
        <f aca="false">IF($A59="","",IF($Q59=0,"?",IF(AND(INDEX('합격 기준 수치표'!$H$6:$H$13,$Q59)="",INDEX('합격 기준 수치표'!$I$6:$I$13,$Q59)=""),"-",IF(J59="","N/A",IF(OR(AND(INDEX('합격 기준 수치표'!$H$6:$H$13,$Q59)&lt;&gt;"",J59&lt;INDEX('합격 기준 수치표'!$H$6:$H$13,$Q59)),AND(INDEX('합격 기준 수치표'!$I$6:$I$13,$Q59)&lt;&gt;"",J59&gt;INDEX('합격 기준 수치표'!$I$6:$I$13,$Q59))),"X","OK")))))</f>
        <v/>
      </c>
      <c r="V59" s="23" t="str">
        <f aca="false">IF($A59="","",IF($Q59=0,"?",IF(AND(INDEX('합격 기준 수치표'!$J$6:$J$13,$Q59)="",INDEX('합격 기준 수치표'!$K$6:$K$13,$Q59)=""),"-",IF(K59="","N/A",IF(OR(AND(INDEX('합격 기준 수치표'!$J$6:$J$13,$Q59)&lt;&gt;"",K59&lt;INDEX('합격 기준 수치표'!$J$6:$J$13,$Q59)),AND(INDEX('합격 기준 수치표'!$K$6:$K$13,$Q59)&lt;&gt;"",K59&gt;INDEX('합격 기준 수치표'!$K$6:$K$13,$Q59))),"X","OK")))))</f>
        <v/>
      </c>
      <c r="W59" s="23" t="str">
        <f aca="false">IF($A59="","",IF($Q59=0,"?",IF(AND(INDEX('합격 기준 수치표'!$L$6:$L$13,$Q59)="",INDEX('합격 기준 수치표'!$M$6:$M$13,$Q59)=""),"-",IF(L59="","N/A",IF(OR(AND(INDEX('합격 기준 수치표'!$L$6:$L$13,$Q59)&lt;&gt;"",L59&lt;INDEX('합격 기준 수치표'!$L$6:$L$13,$Q59)),AND(INDEX('합격 기준 수치표'!$M$6:$M$13,$Q59)&lt;&gt;"",L59&gt;INDEX('합격 기준 수치표'!$M$6:$M$13,$Q59))),"X","OK")))))</f>
        <v/>
      </c>
      <c r="X59" s="23" t="str">
        <f aca="false">IF($A59="","",IF($Q59=0,"?",IF(AND(INDEX('합격 기준 수치표'!$N$6:$N$13,$Q59)="",INDEX('합격 기준 수치표'!$O$6:$O$13,$Q59)=""),"-",IF(M59="","N/A",IF(OR(AND(INDEX('합격 기준 수치표'!$N$6:$N$13,$Q59)&lt;&gt;"",M59&lt;INDEX('합격 기준 수치표'!$N$6:$N$13,$Q59)),AND(INDEX('합격 기준 수치표'!$O$6:$O$13,$Q59)&lt;&gt;"",M59&gt;INDEX('합격 기준 수치표'!$O$6:$O$13,$Q59))),"X","OK")))))</f>
        <v/>
      </c>
      <c r="Y59" s="23" t="str">
        <f aca="false">IF($A59="","",IF($Q59=0,"?",IF(AND(INDEX('합격 기준 수치표'!$P$6:$P$13,$Q59)="",INDEX('합격 기준 수치표'!$Q$6:$Q$13,$Q59)=""),"-",IF(N59="","N/A",IF(OR(AND(INDEX('합격 기준 수치표'!$P$6:$P$13,$Q59)&lt;&gt;"",N59&lt;INDEX('합격 기준 수치표'!$P$6:$P$13,$Q59)),AND(INDEX('합격 기준 수치표'!$Q$6:$Q$13,$Q59)&lt;&gt;"",N59&gt;INDEX('합격 기준 수치표'!$Q$6:$Q$13,$Q59))),"X","OK")))))</f>
        <v/>
      </c>
      <c r="Z59" s="48" t="str">
        <f aca="false">IF($A59="","",COUNTIF($S59:$Y59,"X")+IF($R59="X",1,0))</f>
        <v/>
      </c>
      <c r="AA59" s="21" t="str">
        <f aca="false">IF($A59="","",IF($Q59=0,"자세명 확인",IF($Z59=0,"PASS","FAIL")))</f>
        <v/>
      </c>
    </row>
    <row r="60" customFormat="false" ht="15" hidden="false" customHeight="false" outlineLevel="0" collapsed="false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23" t="str">
        <f aca="false">IF($A60="","",IFERROR(MATCH($C60,'합격 기준 수치표'!$B$6:$B$13,0),0))</f>
        <v/>
      </c>
      <c r="R60" s="23" t="str">
        <f aca="false">IF($A60="","",IF(AND(E60&gt;='합격 기준 수치표'!$D$17,F60&gt;='합격 기준 수치표'!$D$18,F60&lt;='합격 기준 수치표'!$D$19,G60&gt;='합격 기준 수치표'!$D$20,G60&lt;='합격 기준 수치표'!$D$21,P60&lt;='합격 기준 수치표'!$D$23,OR(H60&lt;='합격 기준 수치표'!$D$24,O60="",O60&lt;='합격 기준 수치표'!$D$22)),"OK","X"))</f>
        <v/>
      </c>
      <c r="S60" s="23" t="str">
        <f aca="false">IF($A60="","",IF($Q60=0,"?",IF(AND(INDEX('합격 기준 수치표'!$D$6:$D$13,$Q60)="",INDEX('합격 기준 수치표'!$E$6:$E$13,$Q60)=""),"-",IF(H60="","N/A",IF(OR(AND(INDEX('합격 기준 수치표'!$D$6:$D$13,$Q60)&lt;&gt;"",H60&lt;INDEX('합격 기준 수치표'!$D$6:$D$13,$Q60)),AND(INDEX('합격 기준 수치표'!$E$6:$E$13,$Q60)&lt;&gt;"",H60&gt;INDEX('합격 기준 수치표'!$E$6:$E$13,$Q60))),"X","OK")))))</f>
        <v/>
      </c>
      <c r="T60" s="23" t="str">
        <f aca="false">IF($A60="","",IF($Q60=0,"?",IF(AND(INDEX('합격 기준 수치표'!$F$6:$F$13,$Q60)="",INDEX('합격 기준 수치표'!$G$6:$G$13,$Q60)=""),"-",IF(I60="","N/A",IF(OR(AND(INDEX('합격 기준 수치표'!$F$6:$F$13,$Q60)&lt;&gt;"",I60&lt;INDEX('합격 기준 수치표'!$F$6:$F$13,$Q60)),AND(INDEX('합격 기준 수치표'!$G$6:$G$13,$Q60)&lt;&gt;"",I60&gt;INDEX('합격 기준 수치표'!$G$6:$G$13,$Q60))),"X","OK")))))</f>
        <v/>
      </c>
      <c r="U60" s="23" t="str">
        <f aca="false">IF($A60="","",IF($Q60=0,"?",IF(AND(INDEX('합격 기준 수치표'!$H$6:$H$13,$Q60)="",INDEX('합격 기준 수치표'!$I$6:$I$13,$Q60)=""),"-",IF(J60="","N/A",IF(OR(AND(INDEX('합격 기준 수치표'!$H$6:$H$13,$Q60)&lt;&gt;"",J60&lt;INDEX('합격 기준 수치표'!$H$6:$H$13,$Q60)),AND(INDEX('합격 기준 수치표'!$I$6:$I$13,$Q60)&lt;&gt;"",J60&gt;INDEX('합격 기준 수치표'!$I$6:$I$13,$Q60))),"X","OK")))))</f>
        <v/>
      </c>
      <c r="V60" s="23" t="str">
        <f aca="false">IF($A60="","",IF($Q60=0,"?",IF(AND(INDEX('합격 기준 수치표'!$J$6:$J$13,$Q60)="",INDEX('합격 기준 수치표'!$K$6:$K$13,$Q60)=""),"-",IF(K60="","N/A",IF(OR(AND(INDEX('합격 기준 수치표'!$J$6:$J$13,$Q60)&lt;&gt;"",K60&lt;INDEX('합격 기준 수치표'!$J$6:$J$13,$Q60)),AND(INDEX('합격 기준 수치표'!$K$6:$K$13,$Q60)&lt;&gt;"",K60&gt;INDEX('합격 기준 수치표'!$K$6:$K$13,$Q60))),"X","OK")))))</f>
        <v/>
      </c>
      <c r="W60" s="23" t="str">
        <f aca="false">IF($A60="","",IF($Q60=0,"?",IF(AND(INDEX('합격 기준 수치표'!$L$6:$L$13,$Q60)="",INDEX('합격 기준 수치표'!$M$6:$M$13,$Q60)=""),"-",IF(L60="","N/A",IF(OR(AND(INDEX('합격 기준 수치표'!$L$6:$L$13,$Q60)&lt;&gt;"",L60&lt;INDEX('합격 기준 수치표'!$L$6:$L$13,$Q60)),AND(INDEX('합격 기준 수치표'!$M$6:$M$13,$Q60)&lt;&gt;"",L60&gt;INDEX('합격 기준 수치표'!$M$6:$M$13,$Q60))),"X","OK")))))</f>
        <v/>
      </c>
      <c r="X60" s="23" t="str">
        <f aca="false">IF($A60="","",IF($Q60=0,"?",IF(AND(INDEX('합격 기준 수치표'!$N$6:$N$13,$Q60)="",INDEX('합격 기준 수치표'!$O$6:$O$13,$Q60)=""),"-",IF(M60="","N/A",IF(OR(AND(INDEX('합격 기준 수치표'!$N$6:$N$13,$Q60)&lt;&gt;"",M60&lt;INDEX('합격 기준 수치표'!$N$6:$N$13,$Q60)),AND(INDEX('합격 기준 수치표'!$O$6:$O$13,$Q60)&lt;&gt;"",M60&gt;INDEX('합격 기준 수치표'!$O$6:$O$13,$Q60))),"X","OK")))))</f>
        <v/>
      </c>
      <c r="Y60" s="23" t="str">
        <f aca="false">IF($A60="","",IF($Q60=0,"?",IF(AND(INDEX('합격 기준 수치표'!$P$6:$P$13,$Q60)="",INDEX('합격 기준 수치표'!$Q$6:$Q$13,$Q60)=""),"-",IF(N60="","N/A",IF(OR(AND(INDEX('합격 기준 수치표'!$P$6:$P$13,$Q60)&lt;&gt;"",N60&lt;INDEX('합격 기준 수치표'!$P$6:$P$13,$Q60)),AND(INDEX('합격 기준 수치표'!$Q$6:$Q$13,$Q60)&lt;&gt;"",N60&gt;INDEX('합격 기준 수치표'!$Q$6:$Q$13,$Q60))),"X","OK")))))</f>
        <v/>
      </c>
      <c r="Z60" s="48" t="str">
        <f aca="false">IF($A60="","",COUNTIF($S60:$Y60,"X")+IF($R60="X",1,0))</f>
        <v/>
      </c>
      <c r="AA60" s="21" t="str">
        <f aca="false">IF($A60="","",IF($Q60=0,"자세명 확인",IF($Z60=0,"PASS","FAIL")))</f>
        <v/>
      </c>
    </row>
    <row r="61" customFormat="false" ht="15" hidden="false" customHeight="false" outlineLevel="0" collapsed="false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23" t="str">
        <f aca="false">IF($A61="","",IFERROR(MATCH($C61,'합격 기준 수치표'!$B$6:$B$13,0),0))</f>
        <v/>
      </c>
      <c r="R61" s="23" t="str">
        <f aca="false">IF($A61="","",IF(AND(E61&gt;='합격 기준 수치표'!$D$17,F61&gt;='합격 기준 수치표'!$D$18,F61&lt;='합격 기준 수치표'!$D$19,G61&gt;='합격 기준 수치표'!$D$20,G61&lt;='합격 기준 수치표'!$D$21,P61&lt;='합격 기준 수치표'!$D$23,OR(H61&lt;='합격 기준 수치표'!$D$24,O61="",O61&lt;='합격 기준 수치표'!$D$22)),"OK","X"))</f>
        <v/>
      </c>
      <c r="S61" s="23" t="str">
        <f aca="false">IF($A61="","",IF($Q61=0,"?",IF(AND(INDEX('합격 기준 수치표'!$D$6:$D$13,$Q61)="",INDEX('합격 기준 수치표'!$E$6:$E$13,$Q61)=""),"-",IF(H61="","N/A",IF(OR(AND(INDEX('합격 기준 수치표'!$D$6:$D$13,$Q61)&lt;&gt;"",H61&lt;INDEX('합격 기준 수치표'!$D$6:$D$13,$Q61)),AND(INDEX('합격 기준 수치표'!$E$6:$E$13,$Q61)&lt;&gt;"",H61&gt;INDEX('합격 기준 수치표'!$E$6:$E$13,$Q61))),"X","OK")))))</f>
        <v/>
      </c>
      <c r="T61" s="23" t="str">
        <f aca="false">IF($A61="","",IF($Q61=0,"?",IF(AND(INDEX('합격 기준 수치표'!$F$6:$F$13,$Q61)="",INDEX('합격 기준 수치표'!$G$6:$G$13,$Q61)=""),"-",IF(I61="","N/A",IF(OR(AND(INDEX('합격 기준 수치표'!$F$6:$F$13,$Q61)&lt;&gt;"",I61&lt;INDEX('합격 기준 수치표'!$F$6:$F$13,$Q61)),AND(INDEX('합격 기준 수치표'!$G$6:$G$13,$Q61)&lt;&gt;"",I61&gt;INDEX('합격 기준 수치표'!$G$6:$G$13,$Q61))),"X","OK")))))</f>
        <v/>
      </c>
      <c r="U61" s="23" t="str">
        <f aca="false">IF($A61="","",IF($Q61=0,"?",IF(AND(INDEX('합격 기준 수치표'!$H$6:$H$13,$Q61)="",INDEX('합격 기준 수치표'!$I$6:$I$13,$Q61)=""),"-",IF(J61="","N/A",IF(OR(AND(INDEX('합격 기준 수치표'!$H$6:$H$13,$Q61)&lt;&gt;"",J61&lt;INDEX('합격 기준 수치표'!$H$6:$H$13,$Q61)),AND(INDEX('합격 기준 수치표'!$I$6:$I$13,$Q61)&lt;&gt;"",J61&gt;INDEX('합격 기준 수치표'!$I$6:$I$13,$Q61))),"X","OK")))))</f>
        <v/>
      </c>
      <c r="V61" s="23" t="str">
        <f aca="false">IF($A61="","",IF($Q61=0,"?",IF(AND(INDEX('합격 기준 수치표'!$J$6:$J$13,$Q61)="",INDEX('합격 기준 수치표'!$K$6:$K$13,$Q61)=""),"-",IF(K61="","N/A",IF(OR(AND(INDEX('합격 기준 수치표'!$J$6:$J$13,$Q61)&lt;&gt;"",K61&lt;INDEX('합격 기준 수치표'!$J$6:$J$13,$Q61)),AND(INDEX('합격 기준 수치표'!$K$6:$K$13,$Q61)&lt;&gt;"",K61&gt;INDEX('합격 기준 수치표'!$K$6:$K$13,$Q61))),"X","OK")))))</f>
        <v/>
      </c>
      <c r="W61" s="23" t="str">
        <f aca="false">IF($A61="","",IF($Q61=0,"?",IF(AND(INDEX('합격 기준 수치표'!$L$6:$L$13,$Q61)="",INDEX('합격 기준 수치표'!$M$6:$M$13,$Q61)=""),"-",IF(L61="","N/A",IF(OR(AND(INDEX('합격 기준 수치표'!$L$6:$L$13,$Q61)&lt;&gt;"",L61&lt;INDEX('합격 기준 수치표'!$L$6:$L$13,$Q61)),AND(INDEX('합격 기준 수치표'!$M$6:$M$13,$Q61)&lt;&gt;"",L61&gt;INDEX('합격 기준 수치표'!$M$6:$M$13,$Q61))),"X","OK")))))</f>
        <v/>
      </c>
      <c r="X61" s="23" t="str">
        <f aca="false">IF($A61="","",IF($Q61=0,"?",IF(AND(INDEX('합격 기준 수치표'!$N$6:$N$13,$Q61)="",INDEX('합격 기준 수치표'!$O$6:$O$13,$Q61)=""),"-",IF(M61="","N/A",IF(OR(AND(INDEX('합격 기준 수치표'!$N$6:$N$13,$Q61)&lt;&gt;"",M61&lt;INDEX('합격 기준 수치표'!$N$6:$N$13,$Q61)),AND(INDEX('합격 기준 수치표'!$O$6:$O$13,$Q61)&lt;&gt;"",M61&gt;INDEX('합격 기준 수치표'!$O$6:$O$13,$Q61))),"X","OK")))))</f>
        <v/>
      </c>
      <c r="Y61" s="23" t="str">
        <f aca="false">IF($A61="","",IF($Q61=0,"?",IF(AND(INDEX('합격 기준 수치표'!$P$6:$P$13,$Q61)="",INDEX('합격 기준 수치표'!$Q$6:$Q$13,$Q61)=""),"-",IF(N61="","N/A",IF(OR(AND(INDEX('합격 기준 수치표'!$P$6:$P$13,$Q61)&lt;&gt;"",N61&lt;INDEX('합격 기준 수치표'!$P$6:$P$13,$Q61)),AND(INDEX('합격 기준 수치표'!$Q$6:$Q$13,$Q61)&lt;&gt;"",N61&gt;INDEX('합격 기준 수치표'!$Q$6:$Q$13,$Q61))),"X","OK")))))</f>
        <v/>
      </c>
      <c r="Z61" s="48" t="str">
        <f aca="false">IF($A61="","",COUNTIF($S61:$Y61,"X")+IF($R61="X",1,0))</f>
        <v/>
      </c>
      <c r="AA61" s="21" t="str">
        <f aca="false">IF($A61="","",IF($Q61=0,"자세명 확인",IF($Z61=0,"PASS","FAIL")))</f>
        <v/>
      </c>
    </row>
    <row r="62" customFormat="false" ht="15" hidden="false" customHeight="false" outlineLevel="0" collapsed="false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23" t="str">
        <f aca="false">IF($A62="","",IFERROR(MATCH($C62,'합격 기준 수치표'!$B$6:$B$13,0),0))</f>
        <v/>
      </c>
      <c r="R62" s="23" t="str">
        <f aca="false">IF($A62="","",IF(AND(E62&gt;='합격 기준 수치표'!$D$17,F62&gt;='합격 기준 수치표'!$D$18,F62&lt;='합격 기준 수치표'!$D$19,G62&gt;='합격 기준 수치표'!$D$20,G62&lt;='합격 기준 수치표'!$D$21,P62&lt;='합격 기준 수치표'!$D$23,OR(H62&lt;='합격 기준 수치표'!$D$24,O62="",O62&lt;='합격 기준 수치표'!$D$22)),"OK","X"))</f>
        <v/>
      </c>
      <c r="S62" s="23" t="str">
        <f aca="false">IF($A62="","",IF($Q62=0,"?",IF(AND(INDEX('합격 기준 수치표'!$D$6:$D$13,$Q62)="",INDEX('합격 기준 수치표'!$E$6:$E$13,$Q62)=""),"-",IF(H62="","N/A",IF(OR(AND(INDEX('합격 기준 수치표'!$D$6:$D$13,$Q62)&lt;&gt;"",H62&lt;INDEX('합격 기준 수치표'!$D$6:$D$13,$Q62)),AND(INDEX('합격 기준 수치표'!$E$6:$E$13,$Q62)&lt;&gt;"",H62&gt;INDEX('합격 기준 수치표'!$E$6:$E$13,$Q62))),"X","OK")))))</f>
        <v/>
      </c>
      <c r="T62" s="23" t="str">
        <f aca="false">IF($A62="","",IF($Q62=0,"?",IF(AND(INDEX('합격 기준 수치표'!$F$6:$F$13,$Q62)="",INDEX('합격 기준 수치표'!$G$6:$G$13,$Q62)=""),"-",IF(I62="","N/A",IF(OR(AND(INDEX('합격 기준 수치표'!$F$6:$F$13,$Q62)&lt;&gt;"",I62&lt;INDEX('합격 기준 수치표'!$F$6:$F$13,$Q62)),AND(INDEX('합격 기준 수치표'!$G$6:$G$13,$Q62)&lt;&gt;"",I62&gt;INDEX('합격 기준 수치표'!$G$6:$G$13,$Q62))),"X","OK")))))</f>
        <v/>
      </c>
      <c r="U62" s="23" t="str">
        <f aca="false">IF($A62="","",IF($Q62=0,"?",IF(AND(INDEX('합격 기준 수치표'!$H$6:$H$13,$Q62)="",INDEX('합격 기준 수치표'!$I$6:$I$13,$Q62)=""),"-",IF(J62="","N/A",IF(OR(AND(INDEX('합격 기준 수치표'!$H$6:$H$13,$Q62)&lt;&gt;"",J62&lt;INDEX('합격 기준 수치표'!$H$6:$H$13,$Q62)),AND(INDEX('합격 기준 수치표'!$I$6:$I$13,$Q62)&lt;&gt;"",J62&gt;INDEX('합격 기준 수치표'!$I$6:$I$13,$Q62))),"X","OK")))))</f>
        <v/>
      </c>
      <c r="V62" s="23" t="str">
        <f aca="false">IF($A62="","",IF($Q62=0,"?",IF(AND(INDEX('합격 기준 수치표'!$J$6:$J$13,$Q62)="",INDEX('합격 기준 수치표'!$K$6:$K$13,$Q62)=""),"-",IF(K62="","N/A",IF(OR(AND(INDEX('합격 기준 수치표'!$J$6:$J$13,$Q62)&lt;&gt;"",K62&lt;INDEX('합격 기준 수치표'!$J$6:$J$13,$Q62)),AND(INDEX('합격 기준 수치표'!$K$6:$K$13,$Q62)&lt;&gt;"",K62&gt;INDEX('합격 기준 수치표'!$K$6:$K$13,$Q62))),"X","OK")))))</f>
        <v/>
      </c>
      <c r="W62" s="23" t="str">
        <f aca="false">IF($A62="","",IF($Q62=0,"?",IF(AND(INDEX('합격 기준 수치표'!$L$6:$L$13,$Q62)="",INDEX('합격 기준 수치표'!$M$6:$M$13,$Q62)=""),"-",IF(L62="","N/A",IF(OR(AND(INDEX('합격 기준 수치표'!$L$6:$L$13,$Q62)&lt;&gt;"",L62&lt;INDEX('합격 기준 수치표'!$L$6:$L$13,$Q62)),AND(INDEX('합격 기준 수치표'!$M$6:$M$13,$Q62)&lt;&gt;"",L62&gt;INDEX('합격 기준 수치표'!$M$6:$M$13,$Q62))),"X","OK")))))</f>
        <v/>
      </c>
      <c r="X62" s="23" t="str">
        <f aca="false">IF($A62="","",IF($Q62=0,"?",IF(AND(INDEX('합격 기준 수치표'!$N$6:$N$13,$Q62)="",INDEX('합격 기준 수치표'!$O$6:$O$13,$Q62)=""),"-",IF(M62="","N/A",IF(OR(AND(INDEX('합격 기준 수치표'!$N$6:$N$13,$Q62)&lt;&gt;"",M62&lt;INDEX('합격 기준 수치표'!$N$6:$N$13,$Q62)),AND(INDEX('합격 기준 수치표'!$O$6:$O$13,$Q62)&lt;&gt;"",M62&gt;INDEX('합격 기준 수치표'!$O$6:$O$13,$Q62))),"X","OK")))))</f>
        <v/>
      </c>
      <c r="Y62" s="23" t="str">
        <f aca="false">IF($A62="","",IF($Q62=0,"?",IF(AND(INDEX('합격 기준 수치표'!$P$6:$P$13,$Q62)="",INDEX('합격 기준 수치표'!$Q$6:$Q$13,$Q62)=""),"-",IF(N62="","N/A",IF(OR(AND(INDEX('합격 기준 수치표'!$P$6:$P$13,$Q62)&lt;&gt;"",N62&lt;INDEX('합격 기준 수치표'!$P$6:$P$13,$Q62)),AND(INDEX('합격 기준 수치표'!$Q$6:$Q$13,$Q62)&lt;&gt;"",N62&gt;INDEX('합격 기준 수치표'!$Q$6:$Q$13,$Q62))),"X","OK")))))</f>
        <v/>
      </c>
      <c r="Z62" s="48" t="str">
        <f aca="false">IF($A62="","",COUNTIF($S62:$Y62,"X")+IF($R62="X",1,0))</f>
        <v/>
      </c>
      <c r="AA62" s="21" t="str">
        <f aca="false">IF($A62="","",IF($Q62=0,"자세명 확인",IF($Z62=0,"PASS","FAIL")))</f>
        <v/>
      </c>
    </row>
    <row r="63" customFormat="false" ht="15" hidden="false" customHeight="false" outlineLevel="0" collapsed="false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23" t="str">
        <f aca="false">IF($A63="","",IFERROR(MATCH($C63,'합격 기준 수치표'!$B$6:$B$13,0),0))</f>
        <v/>
      </c>
      <c r="R63" s="23" t="str">
        <f aca="false">IF($A63="","",IF(AND(E63&gt;='합격 기준 수치표'!$D$17,F63&gt;='합격 기준 수치표'!$D$18,F63&lt;='합격 기준 수치표'!$D$19,G63&gt;='합격 기준 수치표'!$D$20,G63&lt;='합격 기준 수치표'!$D$21,P63&lt;='합격 기준 수치표'!$D$23,OR(H63&lt;='합격 기준 수치표'!$D$24,O63="",O63&lt;='합격 기준 수치표'!$D$22)),"OK","X"))</f>
        <v/>
      </c>
      <c r="S63" s="23" t="str">
        <f aca="false">IF($A63="","",IF($Q63=0,"?",IF(AND(INDEX('합격 기준 수치표'!$D$6:$D$13,$Q63)="",INDEX('합격 기준 수치표'!$E$6:$E$13,$Q63)=""),"-",IF(H63="","N/A",IF(OR(AND(INDEX('합격 기준 수치표'!$D$6:$D$13,$Q63)&lt;&gt;"",H63&lt;INDEX('합격 기준 수치표'!$D$6:$D$13,$Q63)),AND(INDEX('합격 기준 수치표'!$E$6:$E$13,$Q63)&lt;&gt;"",H63&gt;INDEX('합격 기준 수치표'!$E$6:$E$13,$Q63))),"X","OK")))))</f>
        <v/>
      </c>
      <c r="T63" s="23" t="str">
        <f aca="false">IF($A63="","",IF($Q63=0,"?",IF(AND(INDEX('합격 기준 수치표'!$F$6:$F$13,$Q63)="",INDEX('합격 기준 수치표'!$G$6:$G$13,$Q63)=""),"-",IF(I63="","N/A",IF(OR(AND(INDEX('합격 기준 수치표'!$F$6:$F$13,$Q63)&lt;&gt;"",I63&lt;INDEX('합격 기준 수치표'!$F$6:$F$13,$Q63)),AND(INDEX('합격 기준 수치표'!$G$6:$G$13,$Q63)&lt;&gt;"",I63&gt;INDEX('합격 기준 수치표'!$G$6:$G$13,$Q63))),"X","OK")))))</f>
        <v/>
      </c>
      <c r="U63" s="23" t="str">
        <f aca="false">IF($A63="","",IF($Q63=0,"?",IF(AND(INDEX('합격 기준 수치표'!$H$6:$H$13,$Q63)="",INDEX('합격 기준 수치표'!$I$6:$I$13,$Q63)=""),"-",IF(J63="","N/A",IF(OR(AND(INDEX('합격 기준 수치표'!$H$6:$H$13,$Q63)&lt;&gt;"",J63&lt;INDEX('합격 기준 수치표'!$H$6:$H$13,$Q63)),AND(INDEX('합격 기준 수치표'!$I$6:$I$13,$Q63)&lt;&gt;"",J63&gt;INDEX('합격 기준 수치표'!$I$6:$I$13,$Q63))),"X","OK")))))</f>
        <v/>
      </c>
      <c r="V63" s="23" t="str">
        <f aca="false">IF($A63="","",IF($Q63=0,"?",IF(AND(INDEX('합격 기준 수치표'!$J$6:$J$13,$Q63)="",INDEX('합격 기준 수치표'!$K$6:$K$13,$Q63)=""),"-",IF(K63="","N/A",IF(OR(AND(INDEX('합격 기준 수치표'!$J$6:$J$13,$Q63)&lt;&gt;"",K63&lt;INDEX('합격 기준 수치표'!$J$6:$J$13,$Q63)),AND(INDEX('합격 기준 수치표'!$K$6:$K$13,$Q63)&lt;&gt;"",K63&gt;INDEX('합격 기준 수치표'!$K$6:$K$13,$Q63))),"X","OK")))))</f>
        <v/>
      </c>
      <c r="W63" s="23" t="str">
        <f aca="false">IF($A63="","",IF($Q63=0,"?",IF(AND(INDEX('합격 기준 수치표'!$L$6:$L$13,$Q63)="",INDEX('합격 기준 수치표'!$M$6:$M$13,$Q63)=""),"-",IF(L63="","N/A",IF(OR(AND(INDEX('합격 기준 수치표'!$L$6:$L$13,$Q63)&lt;&gt;"",L63&lt;INDEX('합격 기준 수치표'!$L$6:$L$13,$Q63)),AND(INDEX('합격 기준 수치표'!$M$6:$M$13,$Q63)&lt;&gt;"",L63&gt;INDEX('합격 기준 수치표'!$M$6:$M$13,$Q63))),"X","OK")))))</f>
        <v/>
      </c>
      <c r="X63" s="23" t="str">
        <f aca="false">IF($A63="","",IF($Q63=0,"?",IF(AND(INDEX('합격 기준 수치표'!$N$6:$N$13,$Q63)="",INDEX('합격 기준 수치표'!$O$6:$O$13,$Q63)=""),"-",IF(M63="","N/A",IF(OR(AND(INDEX('합격 기준 수치표'!$N$6:$N$13,$Q63)&lt;&gt;"",M63&lt;INDEX('합격 기준 수치표'!$N$6:$N$13,$Q63)),AND(INDEX('합격 기준 수치표'!$O$6:$O$13,$Q63)&lt;&gt;"",M63&gt;INDEX('합격 기준 수치표'!$O$6:$O$13,$Q63))),"X","OK")))))</f>
        <v/>
      </c>
      <c r="Y63" s="23" t="str">
        <f aca="false">IF($A63="","",IF($Q63=0,"?",IF(AND(INDEX('합격 기준 수치표'!$P$6:$P$13,$Q63)="",INDEX('합격 기준 수치표'!$Q$6:$Q$13,$Q63)=""),"-",IF(N63="","N/A",IF(OR(AND(INDEX('합격 기준 수치표'!$P$6:$P$13,$Q63)&lt;&gt;"",N63&lt;INDEX('합격 기준 수치표'!$P$6:$P$13,$Q63)),AND(INDEX('합격 기준 수치표'!$Q$6:$Q$13,$Q63)&lt;&gt;"",N63&gt;INDEX('합격 기준 수치표'!$Q$6:$Q$13,$Q63))),"X","OK")))))</f>
        <v/>
      </c>
      <c r="Z63" s="48" t="str">
        <f aca="false">IF($A63="","",COUNTIF($S63:$Y63,"X")+IF($R63="X",1,0))</f>
        <v/>
      </c>
      <c r="AA63" s="21" t="str">
        <f aca="false">IF($A63="","",IF($Q63=0,"자세명 확인",IF($Z63=0,"PASS","FAIL")))</f>
        <v/>
      </c>
    </row>
    <row r="64" customFormat="false" ht="15" hidden="false" customHeight="false" outlineLevel="0" collapsed="false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23" t="str">
        <f aca="false">IF($A64="","",IFERROR(MATCH($C64,'합격 기준 수치표'!$B$6:$B$13,0),0))</f>
        <v/>
      </c>
      <c r="R64" s="23" t="str">
        <f aca="false">IF($A64="","",IF(AND(E64&gt;='합격 기준 수치표'!$D$17,F64&gt;='합격 기준 수치표'!$D$18,F64&lt;='합격 기준 수치표'!$D$19,G64&gt;='합격 기준 수치표'!$D$20,G64&lt;='합격 기준 수치표'!$D$21,P64&lt;='합격 기준 수치표'!$D$23,OR(H64&lt;='합격 기준 수치표'!$D$24,O64="",O64&lt;='합격 기준 수치표'!$D$22)),"OK","X"))</f>
        <v/>
      </c>
      <c r="S64" s="23" t="str">
        <f aca="false">IF($A64="","",IF($Q64=0,"?",IF(AND(INDEX('합격 기준 수치표'!$D$6:$D$13,$Q64)="",INDEX('합격 기준 수치표'!$E$6:$E$13,$Q64)=""),"-",IF(H64="","N/A",IF(OR(AND(INDEX('합격 기준 수치표'!$D$6:$D$13,$Q64)&lt;&gt;"",H64&lt;INDEX('합격 기준 수치표'!$D$6:$D$13,$Q64)),AND(INDEX('합격 기준 수치표'!$E$6:$E$13,$Q64)&lt;&gt;"",H64&gt;INDEX('합격 기준 수치표'!$E$6:$E$13,$Q64))),"X","OK")))))</f>
        <v/>
      </c>
      <c r="T64" s="23" t="str">
        <f aca="false">IF($A64="","",IF($Q64=0,"?",IF(AND(INDEX('합격 기준 수치표'!$F$6:$F$13,$Q64)="",INDEX('합격 기준 수치표'!$G$6:$G$13,$Q64)=""),"-",IF(I64="","N/A",IF(OR(AND(INDEX('합격 기준 수치표'!$F$6:$F$13,$Q64)&lt;&gt;"",I64&lt;INDEX('합격 기준 수치표'!$F$6:$F$13,$Q64)),AND(INDEX('합격 기준 수치표'!$G$6:$G$13,$Q64)&lt;&gt;"",I64&gt;INDEX('합격 기준 수치표'!$G$6:$G$13,$Q64))),"X","OK")))))</f>
        <v/>
      </c>
      <c r="U64" s="23" t="str">
        <f aca="false">IF($A64="","",IF($Q64=0,"?",IF(AND(INDEX('합격 기준 수치표'!$H$6:$H$13,$Q64)="",INDEX('합격 기준 수치표'!$I$6:$I$13,$Q64)=""),"-",IF(J64="","N/A",IF(OR(AND(INDEX('합격 기준 수치표'!$H$6:$H$13,$Q64)&lt;&gt;"",J64&lt;INDEX('합격 기준 수치표'!$H$6:$H$13,$Q64)),AND(INDEX('합격 기준 수치표'!$I$6:$I$13,$Q64)&lt;&gt;"",J64&gt;INDEX('합격 기준 수치표'!$I$6:$I$13,$Q64))),"X","OK")))))</f>
        <v/>
      </c>
      <c r="V64" s="23" t="str">
        <f aca="false">IF($A64="","",IF($Q64=0,"?",IF(AND(INDEX('합격 기준 수치표'!$J$6:$J$13,$Q64)="",INDEX('합격 기준 수치표'!$K$6:$K$13,$Q64)=""),"-",IF(K64="","N/A",IF(OR(AND(INDEX('합격 기준 수치표'!$J$6:$J$13,$Q64)&lt;&gt;"",K64&lt;INDEX('합격 기준 수치표'!$J$6:$J$13,$Q64)),AND(INDEX('합격 기준 수치표'!$K$6:$K$13,$Q64)&lt;&gt;"",K64&gt;INDEX('합격 기준 수치표'!$K$6:$K$13,$Q64))),"X","OK")))))</f>
        <v/>
      </c>
      <c r="W64" s="23" t="str">
        <f aca="false">IF($A64="","",IF($Q64=0,"?",IF(AND(INDEX('합격 기준 수치표'!$L$6:$L$13,$Q64)="",INDEX('합격 기준 수치표'!$M$6:$M$13,$Q64)=""),"-",IF(L64="","N/A",IF(OR(AND(INDEX('합격 기준 수치표'!$L$6:$L$13,$Q64)&lt;&gt;"",L64&lt;INDEX('합격 기준 수치표'!$L$6:$L$13,$Q64)),AND(INDEX('합격 기준 수치표'!$M$6:$M$13,$Q64)&lt;&gt;"",L64&gt;INDEX('합격 기준 수치표'!$M$6:$M$13,$Q64))),"X","OK")))))</f>
        <v/>
      </c>
      <c r="X64" s="23" t="str">
        <f aca="false">IF($A64="","",IF($Q64=0,"?",IF(AND(INDEX('합격 기준 수치표'!$N$6:$N$13,$Q64)="",INDEX('합격 기준 수치표'!$O$6:$O$13,$Q64)=""),"-",IF(M64="","N/A",IF(OR(AND(INDEX('합격 기준 수치표'!$N$6:$N$13,$Q64)&lt;&gt;"",M64&lt;INDEX('합격 기준 수치표'!$N$6:$N$13,$Q64)),AND(INDEX('합격 기준 수치표'!$O$6:$O$13,$Q64)&lt;&gt;"",M64&gt;INDEX('합격 기준 수치표'!$O$6:$O$13,$Q64))),"X","OK")))))</f>
        <v/>
      </c>
      <c r="Y64" s="23" t="str">
        <f aca="false">IF($A64="","",IF($Q64=0,"?",IF(AND(INDEX('합격 기준 수치표'!$P$6:$P$13,$Q64)="",INDEX('합격 기준 수치표'!$Q$6:$Q$13,$Q64)=""),"-",IF(N64="","N/A",IF(OR(AND(INDEX('합격 기준 수치표'!$P$6:$P$13,$Q64)&lt;&gt;"",N64&lt;INDEX('합격 기준 수치표'!$P$6:$P$13,$Q64)),AND(INDEX('합격 기준 수치표'!$Q$6:$Q$13,$Q64)&lt;&gt;"",N64&gt;INDEX('합격 기준 수치표'!$Q$6:$Q$13,$Q64))),"X","OK")))))</f>
        <v/>
      </c>
      <c r="Z64" s="48" t="str">
        <f aca="false">IF($A64="","",COUNTIF($S64:$Y64,"X")+IF($R64="X",1,0))</f>
        <v/>
      </c>
      <c r="AA64" s="21" t="str">
        <f aca="false">IF($A64="","",IF($Q64=0,"자세명 확인",IF($Z64=0,"PASS","FAIL")))</f>
        <v/>
      </c>
    </row>
    <row r="65" customFormat="false" ht="15" hidden="false" customHeight="false" outlineLevel="0" collapsed="false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23" t="str">
        <f aca="false">IF($A65="","",IFERROR(MATCH($C65,'합격 기준 수치표'!$B$6:$B$13,0),0))</f>
        <v/>
      </c>
      <c r="R65" s="23" t="str">
        <f aca="false">IF($A65="","",IF(AND(E65&gt;='합격 기준 수치표'!$D$17,F65&gt;='합격 기준 수치표'!$D$18,F65&lt;='합격 기준 수치표'!$D$19,G65&gt;='합격 기준 수치표'!$D$20,G65&lt;='합격 기준 수치표'!$D$21,P65&lt;='합격 기준 수치표'!$D$23,OR(H65&lt;='합격 기준 수치표'!$D$24,O65="",O65&lt;='합격 기준 수치표'!$D$22)),"OK","X"))</f>
        <v/>
      </c>
      <c r="S65" s="23" t="str">
        <f aca="false">IF($A65="","",IF($Q65=0,"?",IF(AND(INDEX('합격 기준 수치표'!$D$6:$D$13,$Q65)="",INDEX('합격 기준 수치표'!$E$6:$E$13,$Q65)=""),"-",IF(H65="","N/A",IF(OR(AND(INDEX('합격 기준 수치표'!$D$6:$D$13,$Q65)&lt;&gt;"",H65&lt;INDEX('합격 기준 수치표'!$D$6:$D$13,$Q65)),AND(INDEX('합격 기준 수치표'!$E$6:$E$13,$Q65)&lt;&gt;"",H65&gt;INDEX('합격 기준 수치표'!$E$6:$E$13,$Q65))),"X","OK")))))</f>
        <v/>
      </c>
      <c r="T65" s="23" t="str">
        <f aca="false">IF($A65="","",IF($Q65=0,"?",IF(AND(INDEX('합격 기준 수치표'!$F$6:$F$13,$Q65)="",INDEX('합격 기준 수치표'!$G$6:$G$13,$Q65)=""),"-",IF(I65="","N/A",IF(OR(AND(INDEX('합격 기준 수치표'!$F$6:$F$13,$Q65)&lt;&gt;"",I65&lt;INDEX('합격 기준 수치표'!$F$6:$F$13,$Q65)),AND(INDEX('합격 기준 수치표'!$G$6:$G$13,$Q65)&lt;&gt;"",I65&gt;INDEX('합격 기준 수치표'!$G$6:$G$13,$Q65))),"X","OK")))))</f>
        <v/>
      </c>
      <c r="U65" s="23" t="str">
        <f aca="false">IF($A65="","",IF($Q65=0,"?",IF(AND(INDEX('합격 기준 수치표'!$H$6:$H$13,$Q65)="",INDEX('합격 기준 수치표'!$I$6:$I$13,$Q65)=""),"-",IF(J65="","N/A",IF(OR(AND(INDEX('합격 기준 수치표'!$H$6:$H$13,$Q65)&lt;&gt;"",J65&lt;INDEX('합격 기준 수치표'!$H$6:$H$13,$Q65)),AND(INDEX('합격 기준 수치표'!$I$6:$I$13,$Q65)&lt;&gt;"",J65&gt;INDEX('합격 기준 수치표'!$I$6:$I$13,$Q65))),"X","OK")))))</f>
        <v/>
      </c>
      <c r="V65" s="23" t="str">
        <f aca="false">IF($A65="","",IF($Q65=0,"?",IF(AND(INDEX('합격 기준 수치표'!$J$6:$J$13,$Q65)="",INDEX('합격 기준 수치표'!$K$6:$K$13,$Q65)=""),"-",IF(K65="","N/A",IF(OR(AND(INDEX('합격 기준 수치표'!$J$6:$J$13,$Q65)&lt;&gt;"",K65&lt;INDEX('합격 기준 수치표'!$J$6:$J$13,$Q65)),AND(INDEX('합격 기준 수치표'!$K$6:$K$13,$Q65)&lt;&gt;"",K65&gt;INDEX('합격 기준 수치표'!$K$6:$K$13,$Q65))),"X","OK")))))</f>
        <v/>
      </c>
      <c r="W65" s="23" t="str">
        <f aca="false">IF($A65="","",IF($Q65=0,"?",IF(AND(INDEX('합격 기준 수치표'!$L$6:$L$13,$Q65)="",INDEX('합격 기준 수치표'!$M$6:$M$13,$Q65)=""),"-",IF(L65="","N/A",IF(OR(AND(INDEX('합격 기준 수치표'!$L$6:$L$13,$Q65)&lt;&gt;"",L65&lt;INDEX('합격 기준 수치표'!$L$6:$L$13,$Q65)),AND(INDEX('합격 기준 수치표'!$M$6:$M$13,$Q65)&lt;&gt;"",L65&gt;INDEX('합격 기준 수치표'!$M$6:$M$13,$Q65))),"X","OK")))))</f>
        <v/>
      </c>
      <c r="X65" s="23" t="str">
        <f aca="false">IF($A65="","",IF($Q65=0,"?",IF(AND(INDEX('합격 기준 수치표'!$N$6:$N$13,$Q65)="",INDEX('합격 기준 수치표'!$O$6:$O$13,$Q65)=""),"-",IF(M65="","N/A",IF(OR(AND(INDEX('합격 기준 수치표'!$N$6:$N$13,$Q65)&lt;&gt;"",M65&lt;INDEX('합격 기준 수치표'!$N$6:$N$13,$Q65)),AND(INDEX('합격 기준 수치표'!$O$6:$O$13,$Q65)&lt;&gt;"",M65&gt;INDEX('합격 기준 수치표'!$O$6:$O$13,$Q65))),"X","OK")))))</f>
        <v/>
      </c>
      <c r="Y65" s="23" t="str">
        <f aca="false">IF($A65="","",IF($Q65=0,"?",IF(AND(INDEX('합격 기준 수치표'!$P$6:$P$13,$Q65)="",INDEX('합격 기준 수치표'!$Q$6:$Q$13,$Q65)=""),"-",IF(N65="","N/A",IF(OR(AND(INDEX('합격 기준 수치표'!$P$6:$P$13,$Q65)&lt;&gt;"",N65&lt;INDEX('합격 기준 수치표'!$P$6:$P$13,$Q65)),AND(INDEX('합격 기준 수치표'!$Q$6:$Q$13,$Q65)&lt;&gt;"",N65&gt;INDEX('합격 기준 수치표'!$Q$6:$Q$13,$Q65))),"X","OK")))))</f>
        <v/>
      </c>
      <c r="Z65" s="48" t="str">
        <f aca="false">IF($A65="","",COUNTIF($S65:$Y65,"X")+IF($R65="X",1,0))</f>
        <v/>
      </c>
      <c r="AA65" s="21" t="str">
        <f aca="false">IF($A65="","",IF($Q65=0,"자세명 확인",IF($Z65=0,"PASS","FAIL")))</f>
        <v/>
      </c>
    </row>
    <row r="66" customFormat="false" ht="15" hidden="false" customHeight="false" outlineLevel="0" collapsed="false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23" t="str">
        <f aca="false">IF($A66="","",IFERROR(MATCH($C66,'합격 기준 수치표'!$B$6:$B$13,0),0))</f>
        <v/>
      </c>
      <c r="R66" s="23" t="str">
        <f aca="false">IF($A66="","",IF(AND(E66&gt;='합격 기준 수치표'!$D$17,F66&gt;='합격 기준 수치표'!$D$18,F66&lt;='합격 기준 수치표'!$D$19,G66&gt;='합격 기준 수치표'!$D$20,G66&lt;='합격 기준 수치표'!$D$21,P66&lt;='합격 기준 수치표'!$D$23,OR(H66&lt;='합격 기준 수치표'!$D$24,O66="",O66&lt;='합격 기준 수치표'!$D$22)),"OK","X"))</f>
        <v/>
      </c>
      <c r="S66" s="23" t="str">
        <f aca="false">IF($A66="","",IF($Q66=0,"?",IF(AND(INDEX('합격 기준 수치표'!$D$6:$D$13,$Q66)="",INDEX('합격 기준 수치표'!$E$6:$E$13,$Q66)=""),"-",IF(H66="","N/A",IF(OR(AND(INDEX('합격 기준 수치표'!$D$6:$D$13,$Q66)&lt;&gt;"",H66&lt;INDEX('합격 기준 수치표'!$D$6:$D$13,$Q66)),AND(INDEX('합격 기준 수치표'!$E$6:$E$13,$Q66)&lt;&gt;"",H66&gt;INDEX('합격 기준 수치표'!$E$6:$E$13,$Q66))),"X","OK")))))</f>
        <v/>
      </c>
      <c r="T66" s="23" t="str">
        <f aca="false">IF($A66="","",IF($Q66=0,"?",IF(AND(INDEX('합격 기준 수치표'!$F$6:$F$13,$Q66)="",INDEX('합격 기준 수치표'!$G$6:$G$13,$Q66)=""),"-",IF(I66="","N/A",IF(OR(AND(INDEX('합격 기준 수치표'!$F$6:$F$13,$Q66)&lt;&gt;"",I66&lt;INDEX('합격 기준 수치표'!$F$6:$F$13,$Q66)),AND(INDEX('합격 기준 수치표'!$G$6:$G$13,$Q66)&lt;&gt;"",I66&gt;INDEX('합격 기준 수치표'!$G$6:$G$13,$Q66))),"X","OK")))))</f>
        <v/>
      </c>
      <c r="U66" s="23" t="str">
        <f aca="false">IF($A66="","",IF($Q66=0,"?",IF(AND(INDEX('합격 기준 수치표'!$H$6:$H$13,$Q66)="",INDEX('합격 기준 수치표'!$I$6:$I$13,$Q66)=""),"-",IF(J66="","N/A",IF(OR(AND(INDEX('합격 기준 수치표'!$H$6:$H$13,$Q66)&lt;&gt;"",J66&lt;INDEX('합격 기준 수치표'!$H$6:$H$13,$Q66)),AND(INDEX('합격 기준 수치표'!$I$6:$I$13,$Q66)&lt;&gt;"",J66&gt;INDEX('합격 기준 수치표'!$I$6:$I$13,$Q66))),"X","OK")))))</f>
        <v/>
      </c>
      <c r="V66" s="23" t="str">
        <f aca="false">IF($A66="","",IF($Q66=0,"?",IF(AND(INDEX('합격 기준 수치표'!$J$6:$J$13,$Q66)="",INDEX('합격 기준 수치표'!$K$6:$K$13,$Q66)=""),"-",IF(K66="","N/A",IF(OR(AND(INDEX('합격 기준 수치표'!$J$6:$J$13,$Q66)&lt;&gt;"",K66&lt;INDEX('합격 기준 수치표'!$J$6:$J$13,$Q66)),AND(INDEX('합격 기준 수치표'!$K$6:$K$13,$Q66)&lt;&gt;"",K66&gt;INDEX('합격 기준 수치표'!$K$6:$K$13,$Q66))),"X","OK")))))</f>
        <v/>
      </c>
      <c r="W66" s="23" t="str">
        <f aca="false">IF($A66="","",IF($Q66=0,"?",IF(AND(INDEX('합격 기준 수치표'!$L$6:$L$13,$Q66)="",INDEX('합격 기준 수치표'!$M$6:$M$13,$Q66)=""),"-",IF(L66="","N/A",IF(OR(AND(INDEX('합격 기준 수치표'!$L$6:$L$13,$Q66)&lt;&gt;"",L66&lt;INDEX('합격 기준 수치표'!$L$6:$L$13,$Q66)),AND(INDEX('합격 기준 수치표'!$M$6:$M$13,$Q66)&lt;&gt;"",L66&gt;INDEX('합격 기준 수치표'!$M$6:$M$13,$Q66))),"X","OK")))))</f>
        <v/>
      </c>
      <c r="X66" s="23" t="str">
        <f aca="false">IF($A66="","",IF($Q66=0,"?",IF(AND(INDEX('합격 기준 수치표'!$N$6:$N$13,$Q66)="",INDEX('합격 기준 수치표'!$O$6:$O$13,$Q66)=""),"-",IF(M66="","N/A",IF(OR(AND(INDEX('합격 기준 수치표'!$N$6:$N$13,$Q66)&lt;&gt;"",M66&lt;INDEX('합격 기준 수치표'!$N$6:$N$13,$Q66)),AND(INDEX('합격 기준 수치표'!$O$6:$O$13,$Q66)&lt;&gt;"",M66&gt;INDEX('합격 기준 수치표'!$O$6:$O$13,$Q66))),"X","OK")))))</f>
        <v/>
      </c>
      <c r="Y66" s="23" t="str">
        <f aca="false">IF($A66="","",IF($Q66=0,"?",IF(AND(INDEX('합격 기준 수치표'!$P$6:$P$13,$Q66)="",INDEX('합격 기준 수치표'!$Q$6:$Q$13,$Q66)=""),"-",IF(N66="","N/A",IF(OR(AND(INDEX('합격 기준 수치표'!$P$6:$P$13,$Q66)&lt;&gt;"",N66&lt;INDEX('합격 기준 수치표'!$P$6:$P$13,$Q66)),AND(INDEX('합격 기준 수치표'!$Q$6:$Q$13,$Q66)&lt;&gt;"",N66&gt;INDEX('합격 기준 수치표'!$Q$6:$Q$13,$Q66))),"X","OK")))))</f>
        <v/>
      </c>
      <c r="Z66" s="48" t="str">
        <f aca="false">IF($A66="","",COUNTIF($S66:$Y66,"X")+IF($R66="X",1,0))</f>
        <v/>
      </c>
      <c r="AA66" s="21" t="str">
        <f aca="false">IF($A66="","",IF($Q66=0,"자세명 확인",IF($Z66=0,"PASS","FAIL")))</f>
        <v/>
      </c>
    </row>
    <row r="67" customFormat="false" ht="15" hidden="false" customHeight="false" outlineLevel="0" collapsed="false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23" t="str">
        <f aca="false">IF($A67="","",IFERROR(MATCH($C67,'합격 기준 수치표'!$B$6:$B$13,0),0))</f>
        <v/>
      </c>
      <c r="R67" s="23" t="str">
        <f aca="false">IF($A67="","",IF(AND(E67&gt;='합격 기준 수치표'!$D$17,F67&gt;='합격 기준 수치표'!$D$18,F67&lt;='합격 기준 수치표'!$D$19,G67&gt;='합격 기준 수치표'!$D$20,G67&lt;='합격 기준 수치표'!$D$21,P67&lt;='합격 기준 수치표'!$D$23,OR(H67&lt;='합격 기준 수치표'!$D$24,O67="",O67&lt;='합격 기준 수치표'!$D$22)),"OK","X"))</f>
        <v/>
      </c>
      <c r="S67" s="23" t="str">
        <f aca="false">IF($A67="","",IF($Q67=0,"?",IF(AND(INDEX('합격 기준 수치표'!$D$6:$D$13,$Q67)="",INDEX('합격 기준 수치표'!$E$6:$E$13,$Q67)=""),"-",IF(H67="","N/A",IF(OR(AND(INDEX('합격 기준 수치표'!$D$6:$D$13,$Q67)&lt;&gt;"",H67&lt;INDEX('합격 기준 수치표'!$D$6:$D$13,$Q67)),AND(INDEX('합격 기준 수치표'!$E$6:$E$13,$Q67)&lt;&gt;"",H67&gt;INDEX('합격 기준 수치표'!$E$6:$E$13,$Q67))),"X","OK")))))</f>
        <v/>
      </c>
      <c r="T67" s="23" t="str">
        <f aca="false">IF($A67="","",IF($Q67=0,"?",IF(AND(INDEX('합격 기준 수치표'!$F$6:$F$13,$Q67)="",INDEX('합격 기준 수치표'!$G$6:$G$13,$Q67)=""),"-",IF(I67="","N/A",IF(OR(AND(INDEX('합격 기준 수치표'!$F$6:$F$13,$Q67)&lt;&gt;"",I67&lt;INDEX('합격 기준 수치표'!$F$6:$F$13,$Q67)),AND(INDEX('합격 기준 수치표'!$G$6:$G$13,$Q67)&lt;&gt;"",I67&gt;INDEX('합격 기준 수치표'!$G$6:$G$13,$Q67))),"X","OK")))))</f>
        <v/>
      </c>
      <c r="U67" s="23" t="str">
        <f aca="false">IF($A67="","",IF($Q67=0,"?",IF(AND(INDEX('합격 기준 수치표'!$H$6:$H$13,$Q67)="",INDEX('합격 기준 수치표'!$I$6:$I$13,$Q67)=""),"-",IF(J67="","N/A",IF(OR(AND(INDEX('합격 기준 수치표'!$H$6:$H$13,$Q67)&lt;&gt;"",J67&lt;INDEX('합격 기준 수치표'!$H$6:$H$13,$Q67)),AND(INDEX('합격 기준 수치표'!$I$6:$I$13,$Q67)&lt;&gt;"",J67&gt;INDEX('합격 기준 수치표'!$I$6:$I$13,$Q67))),"X","OK")))))</f>
        <v/>
      </c>
      <c r="V67" s="23" t="str">
        <f aca="false">IF($A67="","",IF($Q67=0,"?",IF(AND(INDEX('합격 기준 수치표'!$J$6:$J$13,$Q67)="",INDEX('합격 기준 수치표'!$K$6:$K$13,$Q67)=""),"-",IF(K67="","N/A",IF(OR(AND(INDEX('합격 기준 수치표'!$J$6:$J$13,$Q67)&lt;&gt;"",K67&lt;INDEX('합격 기준 수치표'!$J$6:$J$13,$Q67)),AND(INDEX('합격 기준 수치표'!$K$6:$K$13,$Q67)&lt;&gt;"",K67&gt;INDEX('합격 기준 수치표'!$K$6:$K$13,$Q67))),"X","OK")))))</f>
        <v/>
      </c>
      <c r="W67" s="23" t="str">
        <f aca="false">IF($A67="","",IF($Q67=0,"?",IF(AND(INDEX('합격 기준 수치표'!$L$6:$L$13,$Q67)="",INDEX('합격 기준 수치표'!$M$6:$M$13,$Q67)=""),"-",IF(L67="","N/A",IF(OR(AND(INDEX('합격 기준 수치표'!$L$6:$L$13,$Q67)&lt;&gt;"",L67&lt;INDEX('합격 기준 수치표'!$L$6:$L$13,$Q67)),AND(INDEX('합격 기준 수치표'!$M$6:$M$13,$Q67)&lt;&gt;"",L67&gt;INDEX('합격 기준 수치표'!$M$6:$M$13,$Q67))),"X","OK")))))</f>
        <v/>
      </c>
      <c r="X67" s="23" t="str">
        <f aca="false">IF($A67="","",IF($Q67=0,"?",IF(AND(INDEX('합격 기준 수치표'!$N$6:$N$13,$Q67)="",INDEX('합격 기준 수치표'!$O$6:$O$13,$Q67)=""),"-",IF(M67="","N/A",IF(OR(AND(INDEX('합격 기준 수치표'!$N$6:$N$13,$Q67)&lt;&gt;"",M67&lt;INDEX('합격 기준 수치표'!$N$6:$N$13,$Q67)),AND(INDEX('합격 기준 수치표'!$O$6:$O$13,$Q67)&lt;&gt;"",M67&gt;INDEX('합격 기준 수치표'!$O$6:$O$13,$Q67))),"X","OK")))))</f>
        <v/>
      </c>
      <c r="Y67" s="23" t="str">
        <f aca="false">IF($A67="","",IF($Q67=0,"?",IF(AND(INDEX('합격 기준 수치표'!$P$6:$P$13,$Q67)="",INDEX('합격 기준 수치표'!$Q$6:$Q$13,$Q67)=""),"-",IF(N67="","N/A",IF(OR(AND(INDEX('합격 기준 수치표'!$P$6:$P$13,$Q67)&lt;&gt;"",N67&lt;INDEX('합격 기준 수치표'!$P$6:$P$13,$Q67)),AND(INDEX('합격 기준 수치표'!$Q$6:$Q$13,$Q67)&lt;&gt;"",N67&gt;INDEX('합격 기준 수치표'!$Q$6:$Q$13,$Q67))),"X","OK")))))</f>
        <v/>
      </c>
      <c r="Z67" s="48" t="str">
        <f aca="false">IF($A67="","",COUNTIF($S67:$Y67,"X")+IF($R67="X",1,0))</f>
        <v/>
      </c>
      <c r="AA67" s="21" t="str">
        <f aca="false">IF($A67="","",IF($Q67=0,"자세명 확인",IF($Z67=0,"PASS","FAIL")))</f>
        <v/>
      </c>
    </row>
    <row r="68" customFormat="false" ht="15" hidden="false" customHeight="false" outlineLevel="0" collapsed="false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23" t="str">
        <f aca="false">IF($A68="","",IFERROR(MATCH($C68,'합격 기준 수치표'!$B$6:$B$13,0),0))</f>
        <v/>
      </c>
      <c r="R68" s="23" t="str">
        <f aca="false">IF($A68="","",IF(AND(E68&gt;='합격 기준 수치표'!$D$17,F68&gt;='합격 기준 수치표'!$D$18,F68&lt;='합격 기준 수치표'!$D$19,G68&gt;='합격 기준 수치표'!$D$20,G68&lt;='합격 기준 수치표'!$D$21,P68&lt;='합격 기준 수치표'!$D$23,OR(H68&lt;='합격 기준 수치표'!$D$24,O68="",O68&lt;='합격 기준 수치표'!$D$22)),"OK","X"))</f>
        <v/>
      </c>
      <c r="S68" s="23" t="str">
        <f aca="false">IF($A68="","",IF($Q68=0,"?",IF(AND(INDEX('합격 기준 수치표'!$D$6:$D$13,$Q68)="",INDEX('합격 기준 수치표'!$E$6:$E$13,$Q68)=""),"-",IF(H68="","N/A",IF(OR(AND(INDEX('합격 기준 수치표'!$D$6:$D$13,$Q68)&lt;&gt;"",H68&lt;INDEX('합격 기준 수치표'!$D$6:$D$13,$Q68)),AND(INDEX('합격 기준 수치표'!$E$6:$E$13,$Q68)&lt;&gt;"",H68&gt;INDEX('합격 기준 수치표'!$E$6:$E$13,$Q68))),"X","OK")))))</f>
        <v/>
      </c>
      <c r="T68" s="23" t="str">
        <f aca="false">IF($A68="","",IF($Q68=0,"?",IF(AND(INDEX('합격 기준 수치표'!$F$6:$F$13,$Q68)="",INDEX('합격 기준 수치표'!$G$6:$G$13,$Q68)=""),"-",IF(I68="","N/A",IF(OR(AND(INDEX('합격 기준 수치표'!$F$6:$F$13,$Q68)&lt;&gt;"",I68&lt;INDEX('합격 기준 수치표'!$F$6:$F$13,$Q68)),AND(INDEX('합격 기준 수치표'!$G$6:$G$13,$Q68)&lt;&gt;"",I68&gt;INDEX('합격 기준 수치표'!$G$6:$G$13,$Q68))),"X","OK")))))</f>
        <v/>
      </c>
      <c r="U68" s="23" t="str">
        <f aca="false">IF($A68="","",IF($Q68=0,"?",IF(AND(INDEX('합격 기준 수치표'!$H$6:$H$13,$Q68)="",INDEX('합격 기준 수치표'!$I$6:$I$13,$Q68)=""),"-",IF(J68="","N/A",IF(OR(AND(INDEX('합격 기준 수치표'!$H$6:$H$13,$Q68)&lt;&gt;"",J68&lt;INDEX('합격 기준 수치표'!$H$6:$H$13,$Q68)),AND(INDEX('합격 기준 수치표'!$I$6:$I$13,$Q68)&lt;&gt;"",J68&gt;INDEX('합격 기준 수치표'!$I$6:$I$13,$Q68))),"X","OK")))))</f>
        <v/>
      </c>
      <c r="V68" s="23" t="str">
        <f aca="false">IF($A68="","",IF($Q68=0,"?",IF(AND(INDEX('합격 기준 수치표'!$J$6:$J$13,$Q68)="",INDEX('합격 기준 수치표'!$K$6:$K$13,$Q68)=""),"-",IF(K68="","N/A",IF(OR(AND(INDEX('합격 기준 수치표'!$J$6:$J$13,$Q68)&lt;&gt;"",K68&lt;INDEX('합격 기준 수치표'!$J$6:$J$13,$Q68)),AND(INDEX('합격 기준 수치표'!$K$6:$K$13,$Q68)&lt;&gt;"",K68&gt;INDEX('합격 기준 수치표'!$K$6:$K$13,$Q68))),"X","OK")))))</f>
        <v/>
      </c>
      <c r="W68" s="23" t="str">
        <f aca="false">IF($A68="","",IF($Q68=0,"?",IF(AND(INDEX('합격 기준 수치표'!$L$6:$L$13,$Q68)="",INDEX('합격 기준 수치표'!$M$6:$M$13,$Q68)=""),"-",IF(L68="","N/A",IF(OR(AND(INDEX('합격 기준 수치표'!$L$6:$L$13,$Q68)&lt;&gt;"",L68&lt;INDEX('합격 기준 수치표'!$L$6:$L$13,$Q68)),AND(INDEX('합격 기준 수치표'!$M$6:$M$13,$Q68)&lt;&gt;"",L68&gt;INDEX('합격 기준 수치표'!$M$6:$M$13,$Q68))),"X","OK")))))</f>
        <v/>
      </c>
      <c r="X68" s="23" t="str">
        <f aca="false">IF($A68="","",IF($Q68=0,"?",IF(AND(INDEX('합격 기준 수치표'!$N$6:$N$13,$Q68)="",INDEX('합격 기준 수치표'!$O$6:$O$13,$Q68)=""),"-",IF(M68="","N/A",IF(OR(AND(INDEX('합격 기준 수치표'!$N$6:$N$13,$Q68)&lt;&gt;"",M68&lt;INDEX('합격 기준 수치표'!$N$6:$N$13,$Q68)),AND(INDEX('합격 기준 수치표'!$O$6:$O$13,$Q68)&lt;&gt;"",M68&gt;INDEX('합격 기준 수치표'!$O$6:$O$13,$Q68))),"X","OK")))))</f>
        <v/>
      </c>
      <c r="Y68" s="23" t="str">
        <f aca="false">IF($A68="","",IF($Q68=0,"?",IF(AND(INDEX('합격 기준 수치표'!$P$6:$P$13,$Q68)="",INDEX('합격 기준 수치표'!$Q$6:$Q$13,$Q68)=""),"-",IF(N68="","N/A",IF(OR(AND(INDEX('합격 기준 수치표'!$P$6:$P$13,$Q68)&lt;&gt;"",N68&lt;INDEX('합격 기준 수치표'!$P$6:$P$13,$Q68)),AND(INDEX('합격 기준 수치표'!$Q$6:$Q$13,$Q68)&lt;&gt;"",N68&gt;INDEX('합격 기준 수치표'!$Q$6:$Q$13,$Q68))),"X","OK")))))</f>
        <v/>
      </c>
      <c r="Z68" s="48" t="str">
        <f aca="false">IF($A68="","",COUNTIF($S68:$Y68,"X")+IF($R68="X",1,0))</f>
        <v/>
      </c>
      <c r="AA68" s="21" t="str">
        <f aca="false">IF($A68="","",IF($Q68=0,"자세명 확인",IF($Z68=0,"PASS","FAIL")))</f>
        <v/>
      </c>
    </row>
    <row r="69" customFormat="false" ht="15" hidden="false" customHeight="false" outlineLevel="0" collapsed="false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23" t="str">
        <f aca="false">IF($A69="","",IFERROR(MATCH($C69,'합격 기준 수치표'!$B$6:$B$13,0),0))</f>
        <v/>
      </c>
      <c r="R69" s="23" t="str">
        <f aca="false">IF($A69="","",IF(AND(E69&gt;='합격 기준 수치표'!$D$17,F69&gt;='합격 기준 수치표'!$D$18,F69&lt;='합격 기준 수치표'!$D$19,G69&gt;='합격 기준 수치표'!$D$20,G69&lt;='합격 기준 수치표'!$D$21,P69&lt;='합격 기준 수치표'!$D$23,OR(H69&lt;='합격 기준 수치표'!$D$24,O69="",O69&lt;='합격 기준 수치표'!$D$22)),"OK","X"))</f>
        <v/>
      </c>
      <c r="S69" s="23" t="str">
        <f aca="false">IF($A69="","",IF($Q69=0,"?",IF(AND(INDEX('합격 기준 수치표'!$D$6:$D$13,$Q69)="",INDEX('합격 기준 수치표'!$E$6:$E$13,$Q69)=""),"-",IF(H69="","N/A",IF(OR(AND(INDEX('합격 기준 수치표'!$D$6:$D$13,$Q69)&lt;&gt;"",H69&lt;INDEX('합격 기준 수치표'!$D$6:$D$13,$Q69)),AND(INDEX('합격 기준 수치표'!$E$6:$E$13,$Q69)&lt;&gt;"",H69&gt;INDEX('합격 기준 수치표'!$E$6:$E$13,$Q69))),"X","OK")))))</f>
        <v/>
      </c>
      <c r="T69" s="23" t="str">
        <f aca="false">IF($A69="","",IF($Q69=0,"?",IF(AND(INDEX('합격 기준 수치표'!$F$6:$F$13,$Q69)="",INDEX('합격 기준 수치표'!$G$6:$G$13,$Q69)=""),"-",IF(I69="","N/A",IF(OR(AND(INDEX('합격 기준 수치표'!$F$6:$F$13,$Q69)&lt;&gt;"",I69&lt;INDEX('합격 기준 수치표'!$F$6:$F$13,$Q69)),AND(INDEX('합격 기준 수치표'!$G$6:$G$13,$Q69)&lt;&gt;"",I69&gt;INDEX('합격 기준 수치표'!$G$6:$G$13,$Q69))),"X","OK")))))</f>
        <v/>
      </c>
      <c r="U69" s="23" t="str">
        <f aca="false">IF($A69="","",IF($Q69=0,"?",IF(AND(INDEX('합격 기준 수치표'!$H$6:$H$13,$Q69)="",INDEX('합격 기준 수치표'!$I$6:$I$13,$Q69)=""),"-",IF(J69="","N/A",IF(OR(AND(INDEX('합격 기준 수치표'!$H$6:$H$13,$Q69)&lt;&gt;"",J69&lt;INDEX('합격 기준 수치표'!$H$6:$H$13,$Q69)),AND(INDEX('합격 기준 수치표'!$I$6:$I$13,$Q69)&lt;&gt;"",J69&gt;INDEX('합격 기준 수치표'!$I$6:$I$13,$Q69))),"X","OK")))))</f>
        <v/>
      </c>
      <c r="V69" s="23" t="str">
        <f aca="false">IF($A69="","",IF($Q69=0,"?",IF(AND(INDEX('합격 기준 수치표'!$J$6:$J$13,$Q69)="",INDEX('합격 기준 수치표'!$K$6:$K$13,$Q69)=""),"-",IF(K69="","N/A",IF(OR(AND(INDEX('합격 기준 수치표'!$J$6:$J$13,$Q69)&lt;&gt;"",K69&lt;INDEX('합격 기준 수치표'!$J$6:$J$13,$Q69)),AND(INDEX('합격 기준 수치표'!$K$6:$K$13,$Q69)&lt;&gt;"",K69&gt;INDEX('합격 기준 수치표'!$K$6:$K$13,$Q69))),"X","OK")))))</f>
        <v/>
      </c>
      <c r="W69" s="23" t="str">
        <f aca="false">IF($A69="","",IF($Q69=0,"?",IF(AND(INDEX('합격 기준 수치표'!$L$6:$L$13,$Q69)="",INDEX('합격 기준 수치표'!$M$6:$M$13,$Q69)=""),"-",IF(L69="","N/A",IF(OR(AND(INDEX('합격 기준 수치표'!$L$6:$L$13,$Q69)&lt;&gt;"",L69&lt;INDEX('합격 기준 수치표'!$L$6:$L$13,$Q69)),AND(INDEX('합격 기준 수치표'!$M$6:$M$13,$Q69)&lt;&gt;"",L69&gt;INDEX('합격 기준 수치표'!$M$6:$M$13,$Q69))),"X","OK")))))</f>
        <v/>
      </c>
      <c r="X69" s="23" t="str">
        <f aca="false">IF($A69="","",IF($Q69=0,"?",IF(AND(INDEX('합격 기준 수치표'!$N$6:$N$13,$Q69)="",INDEX('합격 기준 수치표'!$O$6:$O$13,$Q69)=""),"-",IF(M69="","N/A",IF(OR(AND(INDEX('합격 기준 수치표'!$N$6:$N$13,$Q69)&lt;&gt;"",M69&lt;INDEX('합격 기준 수치표'!$N$6:$N$13,$Q69)),AND(INDEX('합격 기준 수치표'!$O$6:$O$13,$Q69)&lt;&gt;"",M69&gt;INDEX('합격 기준 수치표'!$O$6:$O$13,$Q69))),"X","OK")))))</f>
        <v/>
      </c>
      <c r="Y69" s="23" t="str">
        <f aca="false">IF($A69="","",IF($Q69=0,"?",IF(AND(INDEX('합격 기준 수치표'!$P$6:$P$13,$Q69)="",INDEX('합격 기준 수치표'!$Q$6:$Q$13,$Q69)=""),"-",IF(N69="","N/A",IF(OR(AND(INDEX('합격 기준 수치표'!$P$6:$P$13,$Q69)&lt;&gt;"",N69&lt;INDEX('합격 기준 수치표'!$P$6:$P$13,$Q69)),AND(INDEX('합격 기준 수치표'!$Q$6:$Q$13,$Q69)&lt;&gt;"",N69&gt;INDEX('합격 기준 수치표'!$Q$6:$Q$13,$Q69))),"X","OK")))))</f>
        <v/>
      </c>
      <c r="Z69" s="48" t="str">
        <f aca="false">IF($A69="","",COUNTIF($S69:$Y69,"X")+IF($R69="X",1,0))</f>
        <v/>
      </c>
      <c r="AA69" s="21" t="str">
        <f aca="false">IF($A69="","",IF($Q69=0,"자세명 확인",IF($Z69=0,"PASS","FAIL")))</f>
        <v/>
      </c>
    </row>
    <row r="70" customFormat="false" ht="15" hidden="false" customHeight="false" outlineLevel="0" collapsed="false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23" t="str">
        <f aca="false">IF($A70="","",IFERROR(MATCH($C70,'합격 기준 수치표'!$B$6:$B$13,0),0))</f>
        <v/>
      </c>
      <c r="R70" s="23" t="str">
        <f aca="false">IF($A70="","",IF(AND(E70&gt;='합격 기준 수치표'!$D$17,F70&gt;='합격 기준 수치표'!$D$18,F70&lt;='합격 기준 수치표'!$D$19,G70&gt;='합격 기준 수치표'!$D$20,G70&lt;='합격 기준 수치표'!$D$21,P70&lt;='합격 기준 수치표'!$D$23,OR(H70&lt;='합격 기준 수치표'!$D$24,O70="",O70&lt;='합격 기준 수치표'!$D$22)),"OK","X"))</f>
        <v/>
      </c>
      <c r="S70" s="23" t="str">
        <f aca="false">IF($A70="","",IF($Q70=0,"?",IF(AND(INDEX('합격 기준 수치표'!$D$6:$D$13,$Q70)="",INDEX('합격 기준 수치표'!$E$6:$E$13,$Q70)=""),"-",IF(H70="","N/A",IF(OR(AND(INDEX('합격 기준 수치표'!$D$6:$D$13,$Q70)&lt;&gt;"",H70&lt;INDEX('합격 기준 수치표'!$D$6:$D$13,$Q70)),AND(INDEX('합격 기준 수치표'!$E$6:$E$13,$Q70)&lt;&gt;"",H70&gt;INDEX('합격 기준 수치표'!$E$6:$E$13,$Q70))),"X","OK")))))</f>
        <v/>
      </c>
      <c r="T70" s="23" t="str">
        <f aca="false">IF($A70="","",IF($Q70=0,"?",IF(AND(INDEX('합격 기준 수치표'!$F$6:$F$13,$Q70)="",INDEX('합격 기준 수치표'!$G$6:$G$13,$Q70)=""),"-",IF(I70="","N/A",IF(OR(AND(INDEX('합격 기준 수치표'!$F$6:$F$13,$Q70)&lt;&gt;"",I70&lt;INDEX('합격 기준 수치표'!$F$6:$F$13,$Q70)),AND(INDEX('합격 기준 수치표'!$G$6:$G$13,$Q70)&lt;&gt;"",I70&gt;INDEX('합격 기준 수치표'!$G$6:$G$13,$Q70))),"X","OK")))))</f>
        <v/>
      </c>
      <c r="U70" s="23" t="str">
        <f aca="false">IF($A70="","",IF($Q70=0,"?",IF(AND(INDEX('합격 기준 수치표'!$H$6:$H$13,$Q70)="",INDEX('합격 기준 수치표'!$I$6:$I$13,$Q70)=""),"-",IF(J70="","N/A",IF(OR(AND(INDEX('합격 기준 수치표'!$H$6:$H$13,$Q70)&lt;&gt;"",J70&lt;INDEX('합격 기준 수치표'!$H$6:$H$13,$Q70)),AND(INDEX('합격 기준 수치표'!$I$6:$I$13,$Q70)&lt;&gt;"",J70&gt;INDEX('합격 기준 수치표'!$I$6:$I$13,$Q70))),"X","OK")))))</f>
        <v/>
      </c>
      <c r="V70" s="23" t="str">
        <f aca="false">IF($A70="","",IF($Q70=0,"?",IF(AND(INDEX('합격 기준 수치표'!$J$6:$J$13,$Q70)="",INDEX('합격 기준 수치표'!$K$6:$K$13,$Q70)=""),"-",IF(K70="","N/A",IF(OR(AND(INDEX('합격 기준 수치표'!$J$6:$J$13,$Q70)&lt;&gt;"",K70&lt;INDEX('합격 기준 수치표'!$J$6:$J$13,$Q70)),AND(INDEX('합격 기준 수치표'!$K$6:$K$13,$Q70)&lt;&gt;"",K70&gt;INDEX('합격 기준 수치표'!$K$6:$K$13,$Q70))),"X","OK")))))</f>
        <v/>
      </c>
      <c r="W70" s="23" t="str">
        <f aca="false">IF($A70="","",IF($Q70=0,"?",IF(AND(INDEX('합격 기준 수치표'!$L$6:$L$13,$Q70)="",INDEX('합격 기준 수치표'!$M$6:$M$13,$Q70)=""),"-",IF(L70="","N/A",IF(OR(AND(INDEX('합격 기준 수치표'!$L$6:$L$13,$Q70)&lt;&gt;"",L70&lt;INDEX('합격 기준 수치표'!$L$6:$L$13,$Q70)),AND(INDEX('합격 기준 수치표'!$M$6:$M$13,$Q70)&lt;&gt;"",L70&gt;INDEX('합격 기준 수치표'!$M$6:$M$13,$Q70))),"X","OK")))))</f>
        <v/>
      </c>
      <c r="X70" s="23" t="str">
        <f aca="false">IF($A70="","",IF($Q70=0,"?",IF(AND(INDEX('합격 기준 수치표'!$N$6:$N$13,$Q70)="",INDEX('합격 기준 수치표'!$O$6:$O$13,$Q70)=""),"-",IF(M70="","N/A",IF(OR(AND(INDEX('합격 기준 수치표'!$N$6:$N$13,$Q70)&lt;&gt;"",M70&lt;INDEX('합격 기준 수치표'!$N$6:$N$13,$Q70)),AND(INDEX('합격 기준 수치표'!$O$6:$O$13,$Q70)&lt;&gt;"",M70&gt;INDEX('합격 기준 수치표'!$O$6:$O$13,$Q70))),"X","OK")))))</f>
        <v/>
      </c>
      <c r="Y70" s="23" t="str">
        <f aca="false">IF($A70="","",IF($Q70=0,"?",IF(AND(INDEX('합격 기준 수치표'!$P$6:$P$13,$Q70)="",INDEX('합격 기준 수치표'!$Q$6:$Q$13,$Q70)=""),"-",IF(N70="","N/A",IF(OR(AND(INDEX('합격 기준 수치표'!$P$6:$P$13,$Q70)&lt;&gt;"",N70&lt;INDEX('합격 기준 수치표'!$P$6:$P$13,$Q70)),AND(INDEX('합격 기준 수치표'!$Q$6:$Q$13,$Q70)&lt;&gt;"",N70&gt;INDEX('합격 기준 수치표'!$Q$6:$Q$13,$Q70))),"X","OK")))))</f>
        <v/>
      </c>
      <c r="Z70" s="48" t="str">
        <f aca="false">IF($A70="","",COUNTIF($S70:$Y70,"X")+IF($R70="X",1,0))</f>
        <v/>
      </c>
      <c r="AA70" s="21" t="str">
        <f aca="false">IF($A70="","",IF($Q70=0,"자세명 확인",IF($Z70=0,"PASS","FAIL")))</f>
        <v/>
      </c>
    </row>
    <row r="71" customFormat="false" ht="15" hidden="false" customHeight="false" outlineLevel="0" collapsed="false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23" t="str">
        <f aca="false">IF($A71="","",IFERROR(MATCH($C71,'합격 기준 수치표'!$B$6:$B$13,0),0))</f>
        <v/>
      </c>
      <c r="R71" s="23" t="str">
        <f aca="false">IF($A71="","",IF(AND(E71&gt;='합격 기준 수치표'!$D$17,F71&gt;='합격 기준 수치표'!$D$18,F71&lt;='합격 기준 수치표'!$D$19,G71&gt;='합격 기준 수치표'!$D$20,G71&lt;='합격 기준 수치표'!$D$21,P71&lt;='합격 기준 수치표'!$D$23,OR(H71&lt;='합격 기준 수치표'!$D$24,O71="",O71&lt;='합격 기준 수치표'!$D$22)),"OK","X"))</f>
        <v/>
      </c>
      <c r="S71" s="23" t="str">
        <f aca="false">IF($A71="","",IF($Q71=0,"?",IF(AND(INDEX('합격 기준 수치표'!$D$6:$D$13,$Q71)="",INDEX('합격 기준 수치표'!$E$6:$E$13,$Q71)=""),"-",IF(H71="","N/A",IF(OR(AND(INDEX('합격 기준 수치표'!$D$6:$D$13,$Q71)&lt;&gt;"",H71&lt;INDEX('합격 기준 수치표'!$D$6:$D$13,$Q71)),AND(INDEX('합격 기준 수치표'!$E$6:$E$13,$Q71)&lt;&gt;"",H71&gt;INDEX('합격 기준 수치표'!$E$6:$E$13,$Q71))),"X","OK")))))</f>
        <v/>
      </c>
      <c r="T71" s="23" t="str">
        <f aca="false">IF($A71="","",IF($Q71=0,"?",IF(AND(INDEX('합격 기준 수치표'!$F$6:$F$13,$Q71)="",INDEX('합격 기준 수치표'!$G$6:$G$13,$Q71)=""),"-",IF(I71="","N/A",IF(OR(AND(INDEX('합격 기준 수치표'!$F$6:$F$13,$Q71)&lt;&gt;"",I71&lt;INDEX('합격 기준 수치표'!$F$6:$F$13,$Q71)),AND(INDEX('합격 기준 수치표'!$G$6:$G$13,$Q71)&lt;&gt;"",I71&gt;INDEX('합격 기준 수치표'!$G$6:$G$13,$Q71))),"X","OK")))))</f>
        <v/>
      </c>
      <c r="U71" s="23" t="str">
        <f aca="false">IF($A71="","",IF($Q71=0,"?",IF(AND(INDEX('합격 기준 수치표'!$H$6:$H$13,$Q71)="",INDEX('합격 기준 수치표'!$I$6:$I$13,$Q71)=""),"-",IF(J71="","N/A",IF(OR(AND(INDEX('합격 기준 수치표'!$H$6:$H$13,$Q71)&lt;&gt;"",J71&lt;INDEX('합격 기준 수치표'!$H$6:$H$13,$Q71)),AND(INDEX('합격 기준 수치표'!$I$6:$I$13,$Q71)&lt;&gt;"",J71&gt;INDEX('합격 기준 수치표'!$I$6:$I$13,$Q71))),"X","OK")))))</f>
        <v/>
      </c>
      <c r="V71" s="23" t="str">
        <f aca="false">IF($A71="","",IF($Q71=0,"?",IF(AND(INDEX('합격 기준 수치표'!$J$6:$J$13,$Q71)="",INDEX('합격 기준 수치표'!$K$6:$K$13,$Q71)=""),"-",IF(K71="","N/A",IF(OR(AND(INDEX('합격 기준 수치표'!$J$6:$J$13,$Q71)&lt;&gt;"",K71&lt;INDEX('합격 기준 수치표'!$J$6:$J$13,$Q71)),AND(INDEX('합격 기준 수치표'!$K$6:$K$13,$Q71)&lt;&gt;"",K71&gt;INDEX('합격 기준 수치표'!$K$6:$K$13,$Q71))),"X","OK")))))</f>
        <v/>
      </c>
      <c r="W71" s="23" t="str">
        <f aca="false">IF($A71="","",IF($Q71=0,"?",IF(AND(INDEX('합격 기준 수치표'!$L$6:$L$13,$Q71)="",INDEX('합격 기준 수치표'!$M$6:$M$13,$Q71)=""),"-",IF(L71="","N/A",IF(OR(AND(INDEX('합격 기준 수치표'!$L$6:$L$13,$Q71)&lt;&gt;"",L71&lt;INDEX('합격 기준 수치표'!$L$6:$L$13,$Q71)),AND(INDEX('합격 기준 수치표'!$M$6:$M$13,$Q71)&lt;&gt;"",L71&gt;INDEX('합격 기준 수치표'!$M$6:$M$13,$Q71))),"X","OK")))))</f>
        <v/>
      </c>
      <c r="X71" s="23" t="str">
        <f aca="false">IF($A71="","",IF($Q71=0,"?",IF(AND(INDEX('합격 기준 수치표'!$N$6:$N$13,$Q71)="",INDEX('합격 기준 수치표'!$O$6:$O$13,$Q71)=""),"-",IF(M71="","N/A",IF(OR(AND(INDEX('합격 기준 수치표'!$N$6:$N$13,$Q71)&lt;&gt;"",M71&lt;INDEX('합격 기준 수치표'!$N$6:$N$13,$Q71)),AND(INDEX('합격 기준 수치표'!$O$6:$O$13,$Q71)&lt;&gt;"",M71&gt;INDEX('합격 기준 수치표'!$O$6:$O$13,$Q71))),"X","OK")))))</f>
        <v/>
      </c>
      <c r="Y71" s="23" t="str">
        <f aca="false">IF($A71="","",IF($Q71=0,"?",IF(AND(INDEX('합격 기준 수치표'!$P$6:$P$13,$Q71)="",INDEX('합격 기준 수치표'!$Q$6:$Q$13,$Q71)=""),"-",IF(N71="","N/A",IF(OR(AND(INDEX('합격 기준 수치표'!$P$6:$P$13,$Q71)&lt;&gt;"",N71&lt;INDEX('합격 기준 수치표'!$P$6:$P$13,$Q71)),AND(INDEX('합격 기준 수치표'!$Q$6:$Q$13,$Q71)&lt;&gt;"",N71&gt;INDEX('합격 기준 수치표'!$Q$6:$Q$13,$Q71))),"X","OK")))))</f>
        <v/>
      </c>
      <c r="Z71" s="48" t="str">
        <f aca="false">IF($A71="","",COUNTIF($S71:$Y71,"X")+IF($R71="X",1,0))</f>
        <v/>
      </c>
      <c r="AA71" s="21" t="str">
        <f aca="false">IF($A71="","",IF($Q71=0,"자세명 확인",IF($Z71=0,"PASS","FAIL")))</f>
        <v/>
      </c>
    </row>
    <row r="72" customFormat="false" ht="15" hidden="false" customHeight="false" outlineLevel="0" collapsed="false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23" t="str">
        <f aca="false">IF($A72="","",IFERROR(MATCH($C72,'합격 기준 수치표'!$B$6:$B$13,0),0))</f>
        <v/>
      </c>
      <c r="R72" s="23" t="str">
        <f aca="false">IF($A72="","",IF(AND(E72&gt;='합격 기준 수치표'!$D$17,F72&gt;='합격 기준 수치표'!$D$18,F72&lt;='합격 기준 수치표'!$D$19,G72&gt;='합격 기준 수치표'!$D$20,G72&lt;='합격 기준 수치표'!$D$21,P72&lt;='합격 기준 수치표'!$D$23,OR(H72&lt;='합격 기준 수치표'!$D$24,O72="",O72&lt;='합격 기준 수치표'!$D$22)),"OK","X"))</f>
        <v/>
      </c>
      <c r="S72" s="23" t="str">
        <f aca="false">IF($A72="","",IF($Q72=0,"?",IF(AND(INDEX('합격 기준 수치표'!$D$6:$D$13,$Q72)="",INDEX('합격 기준 수치표'!$E$6:$E$13,$Q72)=""),"-",IF(H72="","N/A",IF(OR(AND(INDEX('합격 기준 수치표'!$D$6:$D$13,$Q72)&lt;&gt;"",H72&lt;INDEX('합격 기준 수치표'!$D$6:$D$13,$Q72)),AND(INDEX('합격 기준 수치표'!$E$6:$E$13,$Q72)&lt;&gt;"",H72&gt;INDEX('합격 기준 수치표'!$E$6:$E$13,$Q72))),"X","OK")))))</f>
        <v/>
      </c>
      <c r="T72" s="23" t="str">
        <f aca="false">IF($A72="","",IF($Q72=0,"?",IF(AND(INDEX('합격 기준 수치표'!$F$6:$F$13,$Q72)="",INDEX('합격 기준 수치표'!$G$6:$G$13,$Q72)=""),"-",IF(I72="","N/A",IF(OR(AND(INDEX('합격 기준 수치표'!$F$6:$F$13,$Q72)&lt;&gt;"",I72&lt;INDEX('합격 기준 수치표'!$F$6:$F$13,$Q72)),AND(INDEX('합격 기준 수치표'!$G$6:$G$13,$Q72)&lt;&gt;"",I72&gt;INDEX('합격 기준 수치표'!$G$6:$G$13,$Q72))),"X","OK")))))</f>
        <v/>
      </c>
      <c r="U72" s="23" t="str">
        <f aca="false">IF($A72="","",IF($Q72=0,"?",IF(AND(INDEX('합격 기준 수치표'!$H$6:$H$13,$Q72)="",INDEX('합격 기준 수치표'!$I$6:$I$13,$Q72)=""),"-",IF(J72="","N/A",IF(OR(AND(INDEX('합격 기준 수치표'!$H$6:$H$13,$Q72)&lt;&gt;"",J72&lt;INDEX('합격 기준 수치표'!$H$6:$H$13,$Q72)),AND(INDEX('합격 기준 수치표'!$I$6:$I$13,$Q72)&lt;&gt;"",J72&gt;INDEX('합격 기준 수치표'!$I$6:$I$13,$Q72))),"X","OK")))))</f>
        <v/>
      </c>
      <c r="V72" s="23" t="str">
        <f aca="false">IF($A72="","",IF($Q72=0,"?",IF(AND(INDEX('합격 기준 수치표'!$J$6:$J$13,$Q72)="",INDEX('합격 기준 수치표'!$K$6:$K$13,$Q72)=""),"-",IF(K72="","N/A",IF(OR(AND(INDEX('합격 기준 수치표'!$J$6:$J$13,$Q72)&lt;&gt;"",K72&lt;INDEX('합격 기준 수치표'!$J$6:$J$13,$Q72)),AND(INDEX('합격 기준 수치표'!$K$6:$K$13,$Q72)&lt;&gt;"",K72&gt;INDEX('합격 기준 수치표'!$K$6:$K$13,$Q72))),"X","OK")))))</f>
        <v/>
      </c>
      <c r="W72" s="23" t="str">
        <f aca="false">IF($A72="","",IF($Q72=0,"?",IF(AND(INDEX('합격 기준 수치표'!$L$6:$L$13,$Q72)="",INDEX('합격 기준 수치표'!$M$6:$M$13,$Q72)=""),"-",IF(L72="","N/A",IF(OR(AND(INDEX('합격 기준 수치표'!$L$6:$L$13,$Q72)&lt;&gt;"",L72&lt;INDEX('합격 기준 수치표'!$L$6:$L$13,$Q72)),AND(INDEX('합격 기준 수치표'!$M$6:$M$13,$Q72)&lt;&gt;"",L72&gt;INDEX('합격 기준 수치표'!$M$6:$M$13,$Q72))),"X","OK")))))</f>
        <v/>
      </c>
      <c r="X72" s="23" t="str">
        <f aca="false">IF($A72="","",IF($Q72=0,"?",IF(AND(INDEX('합격 기준 수치표'!$N$6:$N$13,$Q72)="",INDEX('합격 기준 수치표'!$O$6:$O$13,$Q72)=""),"-",IF(M72="","N/A",IF(OR(AND(INDEX('합격 기준 수치표'!$N$6:$N$13,$Q72)&lt;&gt;"",M72&lt;INDEX('합격 기준 수치표'!$N$6:$N$13,$Q72)),AND(INDEX('합격 기준 수치표'!$O$6:$O$13,$Q72)&lt;&gt;"",M72&gt;INDEX('합격 기준 수치표'!$O$6:$O$13,$Q72))),"X","OK")))))</f>
        <v/>
      </c>
      <c r="Y72" s="23" t="str">
        <f aca="false">IF($A72="","",IF($Q72=0,"?",IF(AND(INDEX('합격 기준 수치표'!$P$6:$P$13,$Q72)="",INDEX('합격 기준 수치표'!$Q$6:$Q$13,$Q72)=""),"-",IF(N72="","N/A",IF(OR(AND(INDEX('합격 기준 수치표'!$P$6:$P$13,$Q72)&lt;&gt;"",N72&lt;INDEX('합격 기준 수치표'!$P$6:$P$13,$Q72)),AND(INDEX('합격 기준 수치표'!$Q$6:$Q$13,$Q72)&lt;&gt;"",N72&gt;INDEX('합격 기준 수치표'!$Q$6:$Q$13,$Q72))),"X","OK")))))</f>
        <v/>
      </c>
      <c r="Z72" s="48" t="str">
        <f aca="false">IF($A72="","",COUNTIF($S72:$Y72,"X")+IF($R72="X",1,0))</f>
        <v/>
      </c>
      <c r="AA72" s="21" t="str">
        <f aca="false">IF($A72="","",IF($Q72=0,"자세명 확인",IF($Z72=0,"PASS","FAIL")))</f>
        <v/>
      </c>
    </row>
    <row r="73" customFormat="false" ht="15" hidden="false" customHeight="false" outlineLevel="0" collapsed="false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23" t="str">
        <f aca="false">IF($A73="","",IFERROR(MATCH($C73,'합격 기준 수치표'!$B$6:$B$13,0),0))</f>
        <v/>
      </c>
      <c r="R73" s="23" t="str">
        <f aca="false">IF($A73="","",IF(AND(E73&gt;='합격 기준 수치표'!$D$17,F73&gt;='합격 기준 수치표'!$D$18,F73&lt;='합격 기준 수치표'!$D$19,G73&gt;='합격 기준 수치표'!$D$20,G73&lt;='합격 기준 수치표'!$D$21,P73&lt;='합격 기준 수치표'!$D$23,OR(H73&lt;='합격 기준 수치표'!$D$24,O73="",O73&lt;='합격 기준 수치표'!$D$22)),"OK","X"))</f>
        <v/>
      </c>
      <c r="S73" s="23" t="str">
        <f aca="false">IF($A73="","",IF($Q73=0,"?",IF(AND(INDEX('합격 기준 수치표'!$D$6:$D$13,$Q73)="",INDEX('합격 기준 수치표'!$E$6:$E$13,$Q73)=""),"-",IF(H73="","N/A",IF(OR(AND(INDEX('합격 기준 수치표'!$D$6:$D$13,$Q73)&lt;&gt;"",H73&lt;INDEX('합격 기준 수치표'!$D$6:$D$13,$Q73)),AND(INDEX('합격 기준 수치표'!$E$6:$E$13,$Q73)&lt;&gt;"",H73&gt;INDEX('합격 기준 수치표'!$E$6:$E$13,$Q73))),"X","OK")))))</f>
        <v/>
      </c>
      <c r="T73" s="23" t="str">
        <f aca="false">IF($A73="","",IF($Q73=0,"?",IF(AND(INDEX('합격 기준 수치표'!$F$6:$F$13,$Q73)="",INDEX('합격 기준 수치표'!$G$6:$G$13,$Q73)=""),"-",IF(I73="","N/A",IF(OR(AND(INDEX('합격 기준 수치표'!$F$6:$F$13,$Q73)&lt;&gt;"",I73&lt;INDEX('합격 기준 수치표'!$F$6:$F$13,$Q73)),AND(INDEX('합격 기준 수치표'!$G$6:$G$13,$Q73)&lt;&gt;"",I73&gt;INDEX('합격 기준 수치표'!$G$6:$G$13,$Q73))),"X","OK")))))</f>
        <v/>
      </c>
      <c r="U73" s="23" t="str">
        <f aca="false">IF($A73="","",IF($Q73=0,"?",IF(AND(INDEX('합격 기준 수치표'!$H$6:$H$13,$Q73)="",INDEX('합격 기준 수치표'!$I$6:$I$13,$Q73)=""),"-",IF(J73="","N/A",IF(OR(AND(INDEX('합격 기준 수치표'!$H$6:$H$13,$Q73)&lt;&gt;"",J73&lt;INDEX('합격 기준 수치표'!$H$6:$H$13,$Q73)),AND(INDEX('합격 기준 수치표'!$I$6:$I$13,$Q73)&lt;&gt;"",J73&gt;INDEX('합격 기준 수치표'!$I$6:$I$13,$Q73))),"X","OK")))))</f>
        <v/>
      </c>
      <c r="V73" s="23" t="str">
        <f aca="false">IF($A73="","",IF($Q73=0,"?",IF(AND(INDEX('합격 기준 수치표'!$J$6:$J$13,$Q73)="",INDEX('합격 기준 수치표'!$K$6:$K$13,$Q73)=""),"-",IF(K73="","N/A",IF(OR(AND(INDEX('합격 기준 수치표'!$J$6:$J$13,$Q73)&lt;&gt;"",K73&lt;INDEX('합격 기준 수치표'!$J$6:$J$13,$Q73)),AND(INDEX('합격 기준 수치표'!$K$6:$K$13,$Q73)&lt;&gt;"",K73&gt;INDEX('합격 기준 수치표'!$K$6:$K$13,$Q73))),"X","OK")))))</f>
        <v/>
      </c>
      <c r="W73" s="23" t="str">
        <f aca="false">IF($A73="","",IF($Q73=0,"?",IF(AND(INDEX('합격 기준 수치표'!$L$6:$L$13,$Q73)="",INDEX('합격 기준 수치표'!$M$6:$M$13,$Q73)=""),"-",IF(L73="","N/A",IF(OR(AND(INDEX('합격 기준 수치표'!$L$6:$L$13,$Q73)&lt;&gt;"",L73&lt;INDEX('합격 기준 수치표'!$L$6:$L$13,$Q73)),AND(INDEX('합격 기준 수치표'!$M$6:$M$13,$Q73)&lt;&gt;"",L73&gt;INDEX('합격 기준 수치표'!$M$6:$M$13,$Q73))),"X","OK")))))</f>
        <v/>
      </c>
      <c r="X73" s="23" t="str">
        <f aca="false">IF($A73="","",IF($Q73=0,"?",IF(AND(INDEX('합격 기준 수치표'!$N$6:$N$13,$Q73)="",INDEX('합격 기준 수치표'!$O$6:$O$13,$Q73)=""),"-",IF(M73="","N/A",IF(OR(AND(INDEX('합격 기준 수치표'!$N$6:$N$13,$Q73)&lt;&gt;"",M73&lt;INDEX('합격 기준 수치표'!$N$6:$N$13,$Q73)),AND(INDEX('합격 기준 수치표'!$O$6:$O$13,$Q73)&lt;&gt;"",M73&gt;INDEX('합격 기준 수치표'!$O$6:$O$13,$Q73))),"X","OK")))))</f>
        <v/>
      </c>
      <c r="Y73" s="23" t="str">
        <f aca="false">IF($A73="","",IF($Q73=0,"?",IF(AND(INDEX('합격 기준 수치표'!$P$6:$P$13,$Q73)="",INDEX('합격 기준 수치표'!$Q$6:$Q$13,$Q73)=""),"-",IF(N73="","N/A",IF(OR(AND(INDEX('합격 기준 수치표'!$P$6:$P$13,$Q73)&lt;&gt;"",N73&lt;INDEX('합격 기준 수치표'!$P$6:$P$13,$Q73)),AND(INDEX('합격 기준 수치표'!$Q$6:$Q$13,$Q73)&lt;&gt;"",N73&gt;INDEX('합격 기준 수치표'!$Q$6:$Q$13,$Q73))),"X","OK")))))</f>
        <v/>
      </c>
      <c r="Z73" s="48" t="str">
        <f aca="false">IF($A73="","",COUNTIF($S73:$Y73,"X")+IF($R73="X",1,0))</f>
        <v/>
      </c>
      <c r="AA73" s="21" t="str">
        <f aca="false">IF($A73="","",IF($Q73=0,"자세명 확인",IF($Z73=0,"PASS","FAIL")))</f>
        <v/>
      </c>
    </row>
    <row r="74" customFormat="false" ht="15" hidden="false" customHeight="false" outlineLevel="0" collapsed="false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23" t="str">
        <f aca="false">IF($A74="","",IFERROR(MATCH($C74,'합격 기준 수치표'!$B$6:$B$13,0),0))</f>
        <v/>
      </c>
      <c r="R74" s="23" t="str">
        <f aca="false">IF($A74="","",IF(AND(E74&gt;='합격 기준 수치표'!$D$17,F74&gt;='합격 기준 수치표'!$D$18,F74&lt;='합격 기준 수치표'!$D$19,G74&gt;='합격 기준 수치표'!$D$20,G74&lt;='합격 기준 수치표'!$D$21,P74&lt;='합격 기준 수치표'!$D$23,OR(H74&lt;='합격 기준 수치표'!$D$24,O74="",O74&lt;='합격 기준 수치표'!$D$22)),"OK","X"))</f>
        <v/>
      </c>
      <c r="S74" s="23" t="str">
        <f aca="false">IF($A74="","",IF($Q74=0,"?",IF(AND(INDEX('합격 기준 수치표'!$D$6:$D$13,$Q74)="",INDEX('합격 기준 수치표'!$E$6:$E$13,$Q74)=""),"-",IF(H74="","N/A",IF(OR(AND(INDEX('합격 기준 수치표'!$D$6:$D$13,$Q74)&lt;&gt;"",H74&lt;INDEX('합격 기준 수치표'!$D$6:$D$13,$Q74)),AND(INDEX('합격 기준 수치표'!$E$6:$E$13,$Q74)&lt;&gt;"",H74&gt;INDEX('합격 기준 수치표'!$E$6:$E$13,$Q74))),"X","OK")))))</f>
        <v/>
      </c>
      <c r="T74" s="23" t="str">
        <f aca="false">IF($A74="","",IF($Q74=0,"?",IF(AND(INDEX('합격 기준 수치표'!$F$6:$F$13,$Q74)="",INDEX('합격 기준 수치표'!$G$6:$G$13,$Q74)=""),"-",IF(I74="","N/A",IF(OR(AND(INDEX('합격 기준 수치표'!$F$6:$F$13,$Q74)&lt;&gt;"",I74&lt;INDEX('합격 기준 수치표'!$F$6:$F$13,$Q74)),AND(INDEX('합격 기준 수치표'!$G$6:$G$13,$Q74)&lt;&gt;"",I74&gt;INDEX('합격 기준 수치표'!$G$6:$G$13,$Q74))),"X","OK")))))</f>
        <v/>
      </c>
      <c r="U74" s="23" t="str">
        <f aca="false">IF($A74="","",IF($Q74=0,"?",IF(AND(INDEX('합격 기준 수치표'!$H$6:$H$13,$Q74)="",INDEX('합격 기준 수치표'!$I$6:$I$13,$Q74)=""),"-",IF(J74="","N/A",IF(OR(AND(INDEX('합격 기준 수치표'!$H$6:$H$13,$Q74)&lt;&gt;"",J74&lt;INDEX('합격 기준 수치표'!$H$6:$H$13,$Q74)),AND(INDEX('합격 기준 수치표'!$I$6:$I$13,$Q74)&lt;&gt;"",J74&gt;INDEX('합격 기준 수치표'!$I$6:$I$13,$Q74))),"X","OK")))))</f>
        <v/>
      </c>
      <c r="V74" s="23" t="str">
        <f aca="false">IF($A74="","",IF($Q74=0,"?",IF(AND(INDEX('합격 기준 수치표'!$J$6:$J$13,$Q74)="",INDEX('합격 기준 수치표'!$K$6:$K$13,$Q74)=""),"-",IF(K74="","N/A",IF(OR(AND(INDEX('합격 기준 수치표'!$J$6:$J$13,$Q74)&lt;&gt;"",K74&lt;INDEX('합격 기준 수치표'!$J$6:$J$13,$Q74)),AND(INDEX('합격 기준 수치표'!$K$6:$K$13,$Q74)&lt;&gt;"",K74&gt;INDEX('합격 기준 수치표'!$K$6:$K$13,$Q74))),"X","OK")))))</f>
        <v/>
      </c>
      <c r="W74" s="23" t="str">
        <f aca="false">IF($A74="","",IF($Q74=0,"?",IF(AND(INDEX('합격 기준 수치표'!$L$6:$L$13,$Q74)="",INDEX('합격 기준 수치표'!$M$6:$M$13,$Q74)=""),"-",IF(L74="","N/A",IF(OR(AND(INDEX('합격 기준 수치표'!$L$6:$L$13,$Q74)&lt;&gt;"",L74&lt;INDEX('합격 기준 수치표'!$L$6:$L$13,$Q74)),AND(INDEX('합격 기준 수치표'!$M$6:$M$13,$Q74)&lt;&gt;"",L74&gt;INDEX('합격 기준 수치표'!$M$6:$M$13,$Q74))),"X","OK")))))</f>
        <v/>
      </c>
      <c r="X74" s="23" t="str">
        <f aca="false">IF($A74="","",IF($Q74=0,"?",IF(AND(INDEX('합격 기준 수치표'!$N$6:$N$13,$Q74)="",INDEX('합격 기준 수치표'!$O$6:$O$13,$Q74)=""),"-",IF(M74="","N/A",IF(OR(AND(INDEX('합격 기준 수치표'!$N$6:$N$13,$Q74)&lt;&gt;"",M74&lt;INDEX('합격 기준 수치표'!$N$6:$N$13,$Q74)),AND(INDEX('합격 기준 수치표'!$O$6:$O$13,$Q74)&lt;&gt;"",M74&gt;INDEX('합격 기준 수치표'!$O$6:$O$13,$Q74))),"X","OK")))))</f>
        <v/>
      </c>
      <c r="Y74" s="23" t="str">
        <f aca="false">IF($A74="","",IF($Q74=0,"?",IF(AND(INDEX('합격 기준 수치표'!$P$6:$P$13,$Q74)="",INDEX('합격 기준 수치표'!$Q$6:$Q$13,$Q74)=""),"-",IF(N74="","N/A",IF(OR(AND(INDEX('합격 기준 수치표'!$P$6:$P$13,$Q74)&lt;&gt;"",N74&lt;INDEX('합격 기준 수치표'!$P$6:$P$13,$Q74)),AND(INDEX('합격 기준 수치표'!$Q$6:$Q$13,$Q74)&lt;&gt;"",N74&gt;INDEX('합격 기준 수치표'!$Q$6:$Q$13,$Q74))),"X","OK")))))</f>
        <v/>
      </c>
      <c r="Z74" s="48" t="str">
        <f aca="false">IF($A74="","",COUNTIF($S74:$Y74,"X")+IF($R74="X",1,0))</f>
        <v/>
      </c>
      <c r="AA74" s="21" t="str">
        <f aca="false">IF($A74="","",IF($Q74=0,"자세명 확인",IF($Z74=0,"PASS","FAIL")))</f>
        <v/>
      </c>
    </row>
    <row r="75" customFormat="false" ht="15" hidden="false" customHeight="false" outlineLevel="0" collapsed="false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23" t="str">
        <f aca="false">IF($A75="","",IFERROR(MATCH($C75,'합격 기준 수치표'!$B$6:$B$13,0),0))</f>
        <v/>
      </c>
      <c r="R75" s="23" t="str">
        <f aca="false">IF($A75="","",IF(AND(E75&gt;='합격 기준 수치표'!$D$17,F75&gt;='합격 기준 수치표'!$D$18,F75&lt;='합격 기준 수치표'!$D$19,G75&gt;='합격 기준 수치표'!$D$20,G75&lt;='합격 기준 수치표'!$D$21,P75&lt;='합격 기준 수치표'!$D$23,OR(H75&lt;='합격 기준 수치표'!$D$24,O75="",O75&lt;='합격 기준 수치표'!$D$22)),"OK","X"))</f>
        <v/>
      </c>
      <c r="S75" s="23" t="str">
        <f aca="false">IF($A75="","",IF($Q75=0,"?",IF(AND(INDEX('합격 기준 수치표'!$D$6:$D$13,$Q75)="",INDEX('합격 기준 수치표'!$E$6:$E$13,$Q75)=""),"-",IF(H75="","N/A",IF(OR(AND(INDEX('합격 기준 수치표'!$D$6:$D$13,$Q75)&lt;&gt;"",H75&lt;INDEX('합격 기준 수치표'!$D$6:$D$13,$Q75)),AND(INDEX('합격 기준 수치표'!$E$6:$E$13,$Q75)&lt;&gt;"",H75&gt;INDEX('합격 기준 수치표'!$E$6:$E$13,$Q75))),"X","OK")))))</f>
        <v/>
      </c>
      <c r="T75" s="23" t="str">
        <f aca="false">IF($A75="","",IF($Q75=0,"?",IF(AND(INDEX('합격 기준 수치표'!$F$6:$F$13,$Q75)="",INDEX('합격 기준 수치표'!$G$6:$G$13,$Q75)=""),"-",IF(I75="","N/A",IF(OR(AND(INDEX('합격 기준 수치표'!$F$6:$F$13,$Q75)&lt;&gt;"",I75&lt;INDEX('합격 기준 수치표'!$F$6:$F$13,$Q75)),AND(INDEX('합격 기준 수치표'!$G$6:$G$13,$Q75)&lt;&gt;"",I75&gt;INDEX('합격 기준 수치표'!$G$6:$G$13,$Q75))),"X","OK")))))</f>
        <v/>
      </c>
      <c r="U75" s="23" t="str">
        <f aca="false">IF($A75="","",IF($Q75=0,"?",IF(AND(INDEX('합격 기준 수치표'!$H$6:$H$13,$Q75)="",INDEX('합격 기준 수치표'!$I$6:$I$13,$Q75)=""),"-",IF(J75="","N/A",IF(OR(AND(INDEX('합격 기준 수치표'!$H$6:$H$13,$Q75)&lt;&gt;"",J75&lt;INDEX('합격 기준 수치표'!$H$6:$H$13,$Q75)),AND(INDEX('합격 기준 수치표'!$I$6:$I$13,$Q75)&lt;&gt;"",J75&gt;INDEX('합격 기준 수치표'!$I$6:$I$13,$Q75))),"X","OK")))))</f>
        <v/>
      </c>
      <c r="V75" s="23" t="str">
        <f aca="false">IF($A75="","",IF($Q75=0,"?",IF(AND(INDEX('합격 기준 수치표'!$J$6:$J$13,$Q75)="",INDEX('합격 기준 수치표'!$K$6:$K$13,$Q75)=""),"-",IF(K75="","N/A",IF(OR(AND(INDEX('합격 기준 수치표'!$J$6:$J$13,$Q75)&lt;&gt;"",K75&lt;INDEX('합격 기준 수치표'!$J$6:$J$13,$Q75)),AND(INDEX('합격 기준 수치표'!$K$6:$K$13,$Q75)&lt;&gt;"",K75&gt;INDEX('합격 기준 수치표'!$K$6:$K$13,$Q75))),"X","OK")))))</f>
        <v/>
      </c>
      <c r="W75" s="23" t="str">
        <f aca="false">IF($A75="","",IF($Q75=0,"?",IF(AND(INDEX('합격 기준 수치표'!$L$6:$L$13,$Q75)="",INDEX('합격 기준 수치표'!$M$6:$M$13,$Q75)=""),"-",IF(L75="","N/A",IF(OR(AND(INDEX('합격 기준 수치표'!$L$6:$L$13,$Q75)&lt;&gt;"",L75&lt;INDEX('합격 기준 수치표'!$L$6:$L$13,$Q75)),AND(INDEX('합격 기준 수치표'!$M$6:$M$13,$Q75)&lt;&gt;"",L75&gt;INDEX('합격 기준 수치표'!$M$6:$M$13,$Q75))),"X","OK")))))</f>
        <v/>
      </c>
      <c r="X75" s="23" t="str">
        <f aca="false">IF($A75="","",IF($Q75=0,"?",IF(AND(INDEX('합격 기준 수치표'!$N$6:$N$13,$Q75)="",INDEX('합격 기준 수치표'!$O$6:$O$13,$Q75)=""),"-",IF(M75="","N/A",IF(OR(AND(INDEX('합격 기준 수치표'!$N$6:$N$13,$Q75)&lt;&gt;"",M75&lt;INDEX('합격 기준 수치표'!$N$6:$N$13,$Q75)),AND(INDEX('합격 기준 수치표'!$O$6:$O$13,$Q75)&lt;&gt;"",M75&gt;INDEX('합격 기준 수치표'!$O$6:$O$13,$Q75))),"X","OK")))))</f>
        <v/>
      </c>
      <c r="Y75" s="23" t="str">
        <f aca="false">IF($A75="","",IF($Q75=0,"?",IF(AND(INDEX('합격 기준 수치표'!$P$6:$P$13,$Q75)="",INDEX('합격 기준 수치표'!$Q$6:$Q$13,$Q75)=""),"-",IF(N75="","N/A",IF(OR(AND(INDEX('합격 기준 수치표'!$P$6:$P$13,$Q75)&lt;&gt;"",N75&lt;INDEX('합격 기준 수치표'!$P$6:$P$13,$Q75)),AND(INDEX('합격 기준 수치표'!$Q$6:$Q$13,$Q75)&lt;&gt;"",N75&gt;INDEX('합격 기준 수치표'!$Q$6:$Q$13,$Q75))),"X","OK")))))</f>
        <v/>
      </c>
      <c r="Z75" s="48" t="str">
        <f aca="false">IF($A75="","",COUNTIF($S75:$Y75,"X")+IF($R75="X",1,0))</f>
        <v/>
      </c>
      <c r="AA75" s="21" t="str">
        <f aca="false">IF($A75="","",IF($Q75=0,"자세명 확인",IF($Z75=0,"PASS","FAIL")))</f>
        <v/>
      </c>
    </row>
    <row r="76" customFormat="false" ht="15" hidden="false" customHeight="false" outlineLevel="0" collapsed="false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23" t="str">
        <f aca="false">IF($A76="","",IFERROR(MATCH($C76,'합격 기준 수치표'!$B$6:$B$13,0),0))</f>
        <v/>
      </c>
      <c r="R76" s="23" t="str">
        <f aca="false">IF($A76="","",IF(AND(E76&gt;='합격 기준 수치표'!$D$17,F76&gt;='합격 기준 수치표'!$D$18,F76&lt;='합격 기준 수치표'!$D$19,G76&gt;='합격 기준 수치표'!$D$20,G76&lt;='합격 기준 수치표'!$D$21,P76&lt;='합격 기준 수치표'!$D$23,OR(H76&lt;='합격 기준 수치표'!$D$24,O76="",O76&lt;='합격 기준 수치표'!$D$22)),"OK","X"))</f>
        <v/>
      </c>
      <c r="S76" s="23" t="str">
        <f aca="false">IF($A76="","",IF($Q76=0,"?",IF(AND(INDEX('합격 기준 수치표'!$D$6:$D$13,$Q76)="",INDEX('합격 기준 수치표'!$E$6:$E$13,$Q76)=""),"-",IF(H76="","N/A",IF(OR(AND(INDEX('합격 기준 수치표'!$D$6:$D$13,$Q76)&lt;&gt;"",H76&lt;INDEX('합격 기준 수치표'!$D$6:$D$13,$Q76)),AND(INDEX('합격 기준 수치표'!$E$6:$E$13,$Q76)&lt;&gt;"",H76&gt;INDEX('합격 기준 수치표'!$E$6:$E$13,$Q76))),"X","OK")))))</f>
        <v/>
      </c>
      <c r="T76" s="23" t="str">
        <f aca="false">IF($A76="","",IF($Q76=0,"?",IF(AND(INDEX('합격 기준 수치표'!$F$6:$F$13,$Q76)="",INDEX('합격 기준 수치표'!$G$6:$G$13,$Q76)=""),"-",IF(I76="","N/A",IF(OR(AND(INDEX('합격 기준 수치표'!$F$6:$F$13,$Q76)&lt;&gt;"",I76&lt;INDEX('합격 기준 수치표'!$F$6:$F$13,$Q76)),AND(INDEX('합격 기준 수치표'!$G$6:$G$13,$Q76)&lt;&gt;"",I76&gt;INDEX('합격 기준 수치표'!$G$6:$G$13,$Q76))),"X","OK")))))</f>
        <v/>
      </c>
      <c r="U76" s="23" t="str">
        <f aca="false">IF($A76="","",IF($Q76=0,"?",IF(AND(INDEX('합격 기준 수치표'!$H$6:$H$13,$Q76)="",INDEX('합격 기준 수치표'!$I$6:$I$13,$Q76)=""),"-",IF(J76="","N/A",IF(OR(AND(INDEX('합격 기준 수치표'!$H$6:$H$13,$Q76)&lt;&gt;"",J76&lt;INDEX('합격 기준 수치표'!$H$6:$H$13,$Q76)),AND(INDEX('합격 기준 수치표'!$I$6:$I$13,$Q76)&lt;&gt;"",J76&gt;INDEX('합격 기준 수치표'!$I$6:$I$13,$Q76))),"X","OK")))))</f>
        <v/>
      </c>
      <c r="V76" s="23" t="str">
        <f aca="false">IF($A76="","",IF($Q76=0,"?",IF(AND(INDEX('합격 기준 수치표'!$J$6:$J$13,$Q76)="",INDEX('합격 기준 수치표'!$K$6:$K$13,$Q76)=""),"-",IF(K76="","N/A",IF(OR(AND(INDEX('합격 기준 수치표'!$J$6:$J$13,$Q76)&lt;&gt;"",K76&lt;INDEX('합격 기준 수치표'!$J$6:$J$13,$Q76)),AND(INDEX('합격 기준 수치표'!$K$6:$K$13,$Q76)&lt;&gt;"",K76&gt;INDEX('합격 기준 수치표'!$K$6:$K$13,$Q76))),"X","OK")))))</f>
        <v/>
      </c>
      <c r="W76" s="23" t="str">
        <f aca="false">IF($A76="","",IF($Q76=0,"?",IF(AND(INDEX('합격 기준 수치표'!$L$6:$L$13,$Q76)="",INDEX('합격 기준 수치표'!$M$6:$M$13,$Q76)=""),"-",IF(L76="","N/A",IF(OR(AND(INDEX('합격 기준 수치표'!$L$6:$L$13,$Q76)&lt;&gt;"",L76&lt;INDEX('합격 기준 수치표'!$L$6:$L$13,$Q76)),AND(INDEX('합격 기준 수치표'!$M$6:$M$13,$Q76)&lt;&gt;"",L76&gt;INDEX('합격 기준 수치표'!$M$6:$M$13,$Q76))),"X","OK")))))</f>
        <v/>
      </c>
      <c r="X76" s="23" t="str">
        <f aca="false">IF($A76="","",IF($Q76=0,"?",IF(AND(INDEX('합격 기준 수치표'!$N$6:$N$13,$Q76)="",INDEX('합격 기준 수치표'!$O$6:$O$13,$Q76)=""),"-",IF(M76="","N/A",IF(OR(AND(INDEX('합격 기준 수치표'!$N$6:$N$13,$Q76)&lt;&gt;"",M76&lt;INDEX('합격 기준 수치표'!$N$6:$N$13,$Q76)),AND(INDEX('합격 기준 수치표'!$O$6:$O$13,$Q76)&lt;&gt;"",M76&gt;INDEX('합격 기준 수치표'!$O$6:$O$13,$Q76))),"X","OK")))))</f>
        <v/>
      </c>
      <c r="Y76" s="23" t="str">
        <f aca="false">IF($A76="","",IF($Q76=0,"?",IF(AND(INDEX('합격 기준 수치표'!$P$6:$P$13,$Q76)="",INDEX('합격 기준 수치표'!$Q$6:$Q$13,$Q76)=""),"-",IF(N76="","N/A",IF(OR(AND(INDEX('합격 기준 수치표'!$P$6:$P$13,$Q76)&lt;&gt;"",N76&lt;INDEX('합격 기준 수치표'!$P$6:$P$13,$Q76)),AND(INDEX('합격 기준 수치표'!$Q$6:$Q$13,$Q76)&lt;&gt;"",N76&gt;INDEX('합격 기준 수치표'!$Q$6:$Q$13,$Q76))),"X","OK")))))</f>
        <v/>
      </c>
      <c r="Z76" s="48" t="str">
        <f aca="false">IF($A76="","",COUNTIF($S76:$Y76,"X")+IF($R76="X",1,0))</f>
        <v/>
      </c>
      <c r="AA76" s="21" t="str">
        <f aca="false">IF($A76="","",IF($Q76=0,"자세명 확인",IF($Z76=0,"PASS","FAIL")))</f>
        <v/>
      </c>
    </row>
    <row r="77" customFormat="false" ht="15" hidden="false" customHeight="false" outlineLevel="0" collapsed="false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23" t="str">
        <f aca="false">IF($A77="","",IFERROR(MATCH($C77,'합격 기준 수치표'!$B$6:$B$13,0),0))</f>
        <v/>
      </c>
      <c r="R77" s="23" t="str">
        <f aca="false">IF($A77="","",IF(AND(E77&gt;='합격 기준 수치표'!$D$17,F77&gt;='합격 기준 수치표'!$D$18,F77&lt;='합격 기준 수치표'!$D$19,G77&gt;='합격 기준 수치표'!$D$20,G77&lt;='합격 기준 수치표'!$D$21,P77&lt;='합격 기준 수치표'!$D$23,OR(H77&lt;='합격 기준 수치표'!$D$24,O77="",O77&lt;='합격 기준 수치표'!$D$22)),"OK","X"))</f>
        <v/>
      </c>
      <c r="S77" s="23" t="str">
        <f aca="false">IF($A77="","",IF($Q77=0,"?",IF(AND(INDEX('합격 기준 수치표'!$D$6:$D$13,$Q77)="",INDEX('합격 기준 수치표'!$E$6:$E$13,$Q77)=""),"-",IF(H77="","N/A",IF(OR(AND(INDEX('합격 기준 수치표'!$D$6:$D$13,$Q77)&lt;&gt;"",H77&lt;INDEX('합격 기준 수치표'!$D$6:$D$13,$Q77)),AND(INDEX('합격 기준 수치표'!$E$6:$E$13,$Q77)&lt;&gt;"",H77&gt;INDEX('합격 기준 수치표'!$E$6:$E$13,$Q77))),"X","OK")))))</f>
        <v/>
      </c>
      <c r="T77" s="23" t="str">
        <f aca="false">IF($A77="","",IF($Q77=0,"?",IF(AND(INDEX('합격 기준 수치표'!$F$6:$F$13,$Q77)="",INDEX('합격 기준 수치표'!$G$6:$G$13,$Q77)=""),"-",IF(I77="","N/A",IF(OR(AND(INDEX('합격 기준 수치표'!$F$6:$F$13,$Q77)&lt;&gt;"",I77&lt;INDEX('합격 기준 수치표'!$F$6:$F$13,$Q77)),AND(INDEX('합격 기준 수치표'!$G$6:$G$13,$Q77)&lt;&gt;"",I77&gt;INDEX('합격 기준 수치표'!$G$6:$G$13,$Q77))),"X","OK")))))</f>
        <v/>
      </c>
      <c r="U77" s="23" t="str">
        <f aca="false">IF($A77="","",IF($Q77=0,"?",IF(AND(INDEX('합격 기준 수치표'!$H$6:$H$13,$Q77)="",INDEX('합격 기준 수치표'!$I$6:$I$13,$Q77)=""),"-",IF(J77="","N/A",IF(OR(AND(INDEX('합격 기준 수치표'!$H$6:$H$13,$Q77)&lt;&gt;"",J77&lt;INDEX('합격 기준 수치표'!$H$6:$H$13,$Q77)),AND(INDEX('합격 기준 수치표'!$I$6:$I$13,$Q77)&lt;&gt;"",J77&gt;INDEX('합격 기준 수치표'!$I$6:$I$13,$Q77))),"X","OK")))))</f>
        <v/>
      </c>
      <c r="V77" s="23" t="str">
        <f aca="false">IF($A77="","",IF($Q77=0,"?",IF(AND(INDEX('합격 기준 수치표'!$J$6:$J$13,$Q77)="",INDEX('합격 기준 수치표'!$K$6:$K$13,$Q77)=""),"-",IF(K77="","N/A",IF(OR(AND(INDEX('합격 기준 수치표'!$J$6:$J$13,$Q77)&lt;&gt;"",K77&lt;INDEX('합격 기준 수치표'!$J$6:$J$13,$Q77)),AND(INDEX('합격 기준 수치표'!$K$6:$K$13,$Q77)&lt;&gt;"",K77&gt;INDEX('합격 기준 수치표'!$K$6:$K$13,$Q77))),"X","OK")))))</f>
        <v/>
      </c>
      <c r="W77" s="23" t="str">
        <f aca="false">IF($A77="","",IF($Q77=0,"?",IF(AND(INDEX('합격 기준 수치표'!$L$6:$L$13,$Q77)="",INDEX('합격 기준 수치표'!$M$6:$M$13,$Q77)=""),"-",IF(L77="","N/A",IF(OR(AND(INDEX('합격 기준 수치표'!$L$6:$L$13,$Q77)&lt;&gt;"",L77&lt;INDEX('합격 기준 수치표'!$L$6:$L$13,$Q77)),AND(INDEX('합격 기준 수치표'!$M$6:$M$13,$Q77)&lt;&gt;"",L77&gt;INDEX('합격 기준 수치표'!$M$6:$M$13,$Q77))),"X","OK")))))</f>
        <v/>
      </c>
      <c r="X77" s="23" t="str">
        <f aca="false">IF($A77="","",IF($Q77=0,"?",IF(AND(INDEX('합격 기준 수치표'!$N$6:$N$13,$Q77)="",INDEX('합격 기준 수치표'!$O$6:$O$13,$Q77)=""),"-",IF(M77="","N/A",IF(OR(AND(INDEX('합격 기준 수치표'!$N$6:$N$13,$Q77)&lt;&gt;"",M77&lt;INDEX('합격 기준 수치표'!$N$6:$N$13,$Q77)),AND(INDEX('합격 기준 수치표'!$O$6:$O$13,$Q77)&lt;&gt;"",M77&gt;INDEX('합격 기준 수치표'!$O$6:$O$13,$Q77))),"X","OK")))))</f>
        <v/>
      </c>
      <c r="Y77" s="23" t="str">
        <f aca="false">IF($A77="","",IF($Q77=0,"?",IF(AND(INDEX('합격 기준 수치표'!$P$6:$P$13,$Q77)="",INDEX('합격 기준 수치표'!$Q$6:$Q$13,$Q77)=""),"-",IF(N77="","N/A",IF(OR(AND(INDEX('합격 기준 수치표'!$P$6:$P$13,$Q77)&lt;&gt;"",N77&lt;INDEX('합격 기준 수치표'!$P$6:$P$13,$Q77)),AND(INDEX('합격 기준 수치표'!$Q$6:$Q$13,$Q77)&lt;&gt;"",N77&gt;INDEX('합격 기준 수치표'!$Q$6:$Q$13,$Q77))),"X","OK")))))</f>
        <v/>
      </c>
      <c r="Z77" s="48" t="str">
        <f aca="false">IF($A77="","",COUNTIF($S77:$Y77,"X")+IF($R77="X",1,0))</f>
        <v/>
      </c>
      <c r="AA77" s="21" t="str">
        <f aca="false">IF($A77="","",IF($Q77=0,"자세명 확인",IF($Z77=0,"PASS","FAIL")))</f>
        <v/>
      </c>
    </row>
    <row r="78" customFormat="false" ht="15" hidden="false" customHeight="false" outlineLevel="0" collapsed="false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23" t="str">
        <f aca="false">IF($A78="","",IFERROR(MATCH($C78,'합격 기준 수치표'!$B$6:$B$13,0),0))</f>
        <v/>
      </c>
      <c r="R78" s="23" t="str">
        <f aca="false">IF($A78="","",IF(AND(E78&gt;='합격 기준 수치표'!$D$17,F78&gt;='합격 기준 수치표'!$D$18,F78&lt;='합격 기준 수치표'!$D$19,G78&gt;='합격 기준 수치표'!$D$20,G78&lt;='합격 기준 수치표'!$D$21,P78&lt;='합격 기준 수치표'!$D$23,OR(H78&lt;='합격 기준 수치표'!$D$24,O78="",O78&lt;='합격 기준 수치표'!$D$22)),"OK","X"))</f>
        <v/>
      </c>
      <c r="S78" s="23" t="str">
        <f aca="false">IF($A78="","",IF($Q78=0,"?",IF(AND(INDEX('합격 기준 수치표'!$D$6:$D$13,$Q78)="",INDEX('합격 기준 수치표'!$E$6:$E$13,$Q78)=""),"-",IF(H78="","N/A",IF(OR(AND(INDEX('합격 기준 수치표'!$D$6:$D$13,$Q78)&lt;&gt;"",H78&lt;INDEX('합격 기준 수치표'!$D$6:$D$13,$Q78)),AND(INDEX('합격 기준 수치표'!$E$6:$E$13,$Q78)&lt;&gt;"",H78&gt;INDEX('합격 기준 수치표'!$E$6:$E$13,$Q78))),"X","OK")))))</f>
        <v/>
      </c>
      <c r="T78" s="23" t="str">
        <f aca="false">IF($A78="","",IF($Q78=0,"?",IF(AND(INDEX('합격 기준 수치표'!$F$6:$F$13,$Q78)="",INDEX('합격 기준 수치표'!$G$6:$G$13,$Q78)=""),"-",IF(I78="","N/A",IF(OR(AND(INDEX('합격 기준 수치표'!$F$6:$F$13,$Q78)&lt;&gt;"",I78&lt;INDEX('합격 기준 수치표'!$F$6:$F$13,$Q78)),AND(INDEX('합격 기준 수치표'!$G$6:$G$13,$Q78)&lt;&gt;"",I78&gt;INDEX('합격 기준 수치표'!$G$6:$G$13,$Q78))),"X","OK")))))</f>
        <v/>
      </c>
      <c r="U78" s="23" t="str">
        <f aca="false">IF($A78="","",IF($Q78=0,"?",IF(AND(INDEX('합격 기준 수치표'!$H$6:$H$13,$Q78)="",INDEX('합격 기준 수치표'!$I$6:$I$13,$Q78)=""),"-",IF(J78="","N/A",IF(OR(AND(INDEX('합격 기준 수치표'!$H$6:$H$13,$Q78)&lt;&gt;"",J78&lt;INDEX('합격 기준 수치표'!$H$6:$H$13,$Q78)),AND(INDEX('합격 기준 수치표'!$I$6:$I$13,$Q78)&lt;&gt;"",J78&gt;INDEX('합격 기준 수치표'!$I$6:$I$13,$Q78))),"X","OK")))))</f>
        <v/>
      </c>
      <c r="V78" s="23" t="str">
        <f aca="false">IF($A78="","",IF($Q78=0,"?",IF(AND(INDEX('합격 기준 수치표'!$J$6:$J$13,$Q78)="",INDEX('합격 기준 수치표'!$K$6:$K$13,$Q78)=""),"-",IF(K78="","N/A",IF(OR(AND(INDEX('합격 기준 수치표'!$J$6:$J$13,$Q78)&lt;&gt;"",K78&lt;INDEX('합격 기준 수치표'!$J$6:$J$13,$Q78)),AND(INDEX('합격 기준 수치표'!$K$6:$K$13,$Q78)&lt;&gt;"",K78&gt;INDEX('합격 기준 수치표'!$K$6:$K$13,$Q78))),"X","OK")))))</f>
        <v/>
      </c>
      <c r="W78" s="23" t="str">
        <f aca="false">IF($A78="","",IF($Q78=0,"?",IF(AND(INDEX('합격 기준 수치표'!$L$6:$L$13,$Q78)="",INDEX('합격 기준 수치표'!$M$6:$M$13,$Q78)=""),"-",IF(L78="","N/A",IF(OR(AND(INDEX('합격 기준 수치표'!$L$6:$L$13,$Q78)&lt;&gt;"",L78&lt;INDEX('합격 기준 수치표'!$L$6:$L$13,$Q78)),AND(INDEX('합격 기준 수치표'!$M$6:$M$13,$Q78)&lt;&gt;"",L78&gt;INDEX('합격 기준 수치표'!$M$6:$M$13,$Q78))),"X","OK")))))</f>
        <v/>
      </c>
      <c r="X78" s="23" t="str">
        <f aca="false">IF($A78="","",IF($Q78=0,"?",IF(AND(INDEX('합격 기준 수치표'!$N$6:$N$13,$Q78)="",INDEX('합격 기준 수치표'!$O$6:$O$13,$Q78)=""),"-",IF(M78="","N/A",IF(OR(AND(INDEX('합격 기준 수치표'!$N$6:$N$13,$Q78)&lt;&gt;"",M78&lt;INDEX('합격 기준 수치표'!$N$6:$N$13,$Q78)),AND(INDEX('합격 기준 수치표'!$O$6:$O$13,$Q78)&lt;&gt;"",M78&gt;INDEX('합격 기준 수치표'!$O$6:$O$13,$Q78))),"X","OK")))))</f>
        <v/>
      </c>
      <c r="Y78" s="23" t="str">
        <f aca="false">IF($A78="","",IF($Q78=0,"?",IF(AND(INDEX('합격 기준 수치표'!$P$6:$P$13,$Q78)="",INDEX('합격 기준 수치표'!$Q$6:$Q$13,$Q78)=""),"-",IF(N78="","N/A",IF(OR(AND(INDEX('합격 기준 수치표'!$P$6:$P$13,$Q78)&lt;&gt;"",N78&lt;INDEX('합격 기준 수치표'!$P$6:$P$13,$Q78)),AND(INDEX('합격 기준 수치표'!$Q$6:$Q$13,$Q78)&lt;&gt;"",N78&gt;INDEX('합격 기준 수치표'!$Q$6:$Q$13,$Q78))),"X","OK")))))</f>
        <v/>
      </c>
      <c r="Z78" s="48" t="str">
        <f aca="false">IF($A78="","",COUNTIF($S78:$Y78,"X")+IF($R78="X",1,0))</f>
        <v/>
      </c>
      <c r="AA78" s="21" t="str">
        <f aca="false">IF($A78="","",IF($Q78=0,"자세명 확인",IF($Z78=0,"PASS","FAIL")))</f>
        <v/>
      </c>
    </row>
    <row r="79" customFormat="false" ht="15" hidden="false" customHeight="false" outlineLevel="0" collapsed="false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23" t="str">
        <f aca="false">IF($A79="","",IFERROR(MATCH($C79,'합격 기준 수치표'!$B$6:$B$13,0),0))</f>
        <v/>
      </c>
      <c r="R79" s="23" t="str">
        <f aca="false">IF($A79="","",IF(AND(E79&gt;='합격 기준 수치표'!$D$17,F79&gt;='합격 기준 수치표'!$D$18,F79&lt;='합격 기준 수치표'!$D$19,G79&gt;='합격 기준 수치표'!$D$20,G79&lt;='합격 기준 수치표'!$D$21,P79&lt;='합격 기준 수치표'!$D$23,OR(H79&lt;='합격 기준 수치표'!$D$24,O79="",O79&lt;='합격 기준 수치표'!$D$22)),"OK","X"))</f>
        <v/>
      </c>
      <c r="S79" s="23" t="str">
        <f aca="false">IF($A79="","",IF($Q79=0,"?",IF(AND(INDEX('합격 기준 수치표'!$D$6:$D$13,$Q79)="",INDEX('합격 기준 수치표'!$E$6:$E$13,$Q79)=""),"-",IF(H79="","N/A",IF(OR(AND(INDEX('합격 기준 수치표'!$D$6:$D$13,$Q79)&lt;&gt;"",H79&lt;INDEX('합격 기준 수치표'!$D$6:$D$13,$Q79)),AND(INDEX('합격 기준 수치표'!$E$6:$E$13,$Q79)&lt;&gt;"",H79&gt;INDEX('합격 기준 수치표'!$E$6:$E$13,$Q79))),"X","OK")))))</f>
        <v/>
      </c>
      <c r="T79" s="23" t="str">
        <f aca="false">IF($A79="","",IF($Q79=0,"?",IF(AND(INDEX('합격 기준 수치표'!$F$6:$F$13,$Q79)="",INDEX('합격 기준 수치표'!$G$6:$G$13,$Q79)=""),"-",IF(I79="","N/A",IF(OR(AND(INDEX('합격 기준 수치표'!$F$6:$F$13,$Q79)&lt;&gt;"",I79&lt;INDEX('합격 기준 수치표'!$F$6:$F$13,$Q79)),AND(INDEX('합격 기준 수치표'!$G$6:$G$13,$Q79)&lt;&gt;"",I79&gt;INDEX('합격 기준 수치표'!$G$6:$G$13,$Q79))),"X","OK")))))</f>
        <v/>
      </c>
      <c r="U79" s="23" t="str">
        <f aca="false">IF($A79="","",IF($Q79=0,"?",IF(AND(INDEX('합격 기준 수치표'!$H$6:$H$13,$Q79)="",INDEX('합격 기준 수치표'!$I$6:$I$13,$Q79)=""),"-",IF(J79="","N/A",IF(OR(AND(INDEX('합격 기준 수치표'!$H$6:$H$13,$Q79)&lt;&gt;"",J79&lt;INDEX('합격 기준 수치표'!$H$6:$H$13,$Q79)),AND(INDEX('합격 기준 수치표'!$I$6:$I$13,$Q79)&lt;&gt;"",J79&gt;INDEX('합격 기준 수치표'!$I$6:$I$13,$Q79))),"X","OK")))))</f>
        <v/>
      </c>
      <c r="V79" s="23" t="str">
        <f aca="false">IF($A79="","",IF($Q79=0,"?",IF(AND(INDEX('합격 기준 수치표'!$J$6:$J$13,$Q79)="",INDEX('합격 기준 수치표'!$K$6:$K$13,$Q79)=""),"-",IF(K79="","N/A",IF(OR(AND(INDEX('합격 기준 수치표'!$J$6:$J$13,$Q79)&lt;&gt;"",K79&lt;INDEX('합격 기준 수치표'!$J$6:$J$13,$Q79)),AND(INDEX('합격 기준 수치표'!$K$6:$K$13,$Q79)&lt;&gt;"",K79&gt;INDEX('합격 기준 수치표'!$K$6:$K$13,$Q79))),"X","OK")))))</f>
        <v/>
      </c>
      <c r="W79" s="23" t="str">
        <f aca="false">IF($A79="","",IF($Q79=0,"?",IF(AND(INDEX('합격 기준 수치표'!$L$6:$L$13,$Q79)="",INDEX('합격 기준 수치표'!$M$6:$M$13,$Q79)=""),"-",IF(L79="","N/A",IF(OR(AND(INDEX('합격 기준 수치표'!$L$6:$L$13,$Q79)&lt;&gt;"",L79&lt;INDEX('합격 기준 수치표'!$L$6:$L$13,$Q79)),AND(INDEX('합격 기준 수치표'!$M$6:$M$13,$Q79)&lt;&gt;"",L79&gt;INDEX('합격 기준 수치표'!$M$6:$M$13,$Q79))),"X","OK")))))</f>
        <v/>
      </c>
      <c r="X79" s="23" t="str">
        <f aca="false">IF($A79="","",IF($Q79=0,"?",IF(AND(INDEX('합격 기준 수치표'!$N$6:$N$13,$Q79)="",INDEX('합격 기준 수치표'!$O$6:$O$13,$Q79)=""),"-",IF(M79="","N/A",IF(OR(AND(INDEX('합격 기준 수치표'!$N$6:$N$13,$Q79)&lt;&gt;"",M79&lt;INDEX('합격 기준 수치표'!$N$6:$N$13,$Q79)),AND(INDEX('합격 기준 수치표'!$O$6:$O$13,$Q79)&lt;&gt;"",M79&gt;INDEX('합격 기준 수치표'!$O$6:$O$13,$Q79))),"X","OK")))))</f>
        <v/>
      </c>
      <c r="Y79" s="23" t="str">
        <f aca="false">IF($A79="","",IF($Q79=0,"?",IF(AND(INDEX('합격 기준 수치표'!$P$6:$P$13,$Q79)="",INDEX('합격 기준 수치표'!$Q$6:$Q$13,$Q79)=""),"-",IF(N79="","N/A",IF(OR(AND(INDEX('합격 기준 수치표'!$P$6:$P$13,$Q79)&lt;&gt;"",N79&lt;INDEX('합격 기준 수치표'!$P$6:$P$13,$Q79)),AND(INDEX('합격 기준 수치표'!$Q$6:$Q$13,$Q79)&lt;&gt;"",N79&gt;INDEX('합격 기준 수치표'!$Q$6:$Q$13,$Q79))),"X","OK")))))</f>
        <v/>
      </c>
      <c r="Z79" s="48" t="str">
        <f aca="false">IF($A79="","",COUNTIF($S79:$Y79,"X")+IF($R79="X",1,0))</f>
        <v/>
      </c>
      <c r="AA79" s="21" t="str">
        <f aca="false">IF($A79="","",IF($Q79=0,"자세명 확인",IF($Z79=0,"PASS","FAIL")))</f>
        <v/>
      </c>
    </row>
    <row r="80" customFormat="false" ht="15" hidden="false" customHeight="false" outlineLevel="0" collapsed="false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23" t="str">
        <f aca="false">IF($A80="","",IFERROR(MATCH($C80,'합격 기준 수치표'!$B$6:$B$13,0),0))</f>
        <v/>
      </c>
      <c r="R80" s="23" t="str">
        <f aca="false">IF($A80="","",IF(AND(E80&gt;='합격 기준 수치표'!$D$17,F80&gt;='합격 기준 수치표'!$D$18,F80&lt;='합격 기준 수치표'!$D$19,G80&gt;='합격 기준 수치표'!$D$20,G80&lt;='합격 기준 수치표'!$D$21,P80&lt;='합격 기준 수치표'!$D$23,OR(H80&lt;='합격 기준 수치표'!$D$24,O80="",O80&lt;='합격 기준 수치표'!$D$22)),"OK","X"))</f>
        <v/>
      </c>
      <c r="S80" s="23" t="str">
        <f aca="false">IF($A80="","",IF($Q80=0,"?",IF(AND(INDEX('합격 기준 수치표'!$D$6:$D$13,$Q80)="",INDEX('합격 기준 수치표'!$E$6:$E$13,$Q80)=""),"-",IF(H80="","N/A",IF(OR(AND(INDEX('합격 기준 수치표'!$D$6:$D$13,$Q80)&lt;&gt;"",H80&lt;INDEX('합격 기준 수치표'!$D$6:$D$13,$Q80)),AND(INDEX('합격 기준 수치표'!$E$6:$E$13,$Q80)&lt;&gt;"",H80&gt;INDEX('합격 기준 수치표'!$E$6:$E$13,$Q80))),"X","OK")))))</f>
        <v/>
      </c>
      <c r="T80" s="23" t="str">
        <f aca="false">IF($A80="","",IF($Q80=0,"?",IF(AND(INDEX('합격 기준 수치표'!$F$6:$F$13,$Q80)="",INDEX('합격 기준 수치표'!$G$6:$G$13,$Q80)=""),"-",IF(I80="","N/A",IF(OR(AND(INDEX('합격 기준 수치표'!$F$6:$F$13,$Q80)&lt;&gt;"",I80&lt;INDEX('합격 기준 수치표'!$F$6:$F$13,$Q80)),AND(INDEX('합격 기준 수치표'!$G$6:$G$13,$Q80)&lt;&gt;"",I80&gt;INDEX('합격 기준 수치표'!$G$6:$G$13,$Q80))),"X","OK")))))</f>
        <v/>
      </c>
      <c r="U80" s="23" t="str">
        <f aca="false">IF($A80="","",IF($Q80=0,"?",IF(AND(INDEX('합격 기준 수치표'!$H$6:$H$13,$Q80)="",INDEX('합격 기준 수치표'!$I$6:$I$13,$Q80)=""),"-",IF(J80="","N/A",IF(OR(AND(INDEX('합격 기준 수치표'!$H$6:$H$13,$Q80)&lt;&gt;"",J80&lt;INDEX('합격 기준 수치표'!$H$6:$H$13,$Q80)),AND(INDEX('합격 기준 수치표'!$I$6:$I$13,$Q80)&lt;&gt;"",J80&gt;INDEX('합격 기준 수치표'!$I$6:$I$13,$Q80))),"X","OK")))))</f>
        <v/>
      </c>
      <c r="V80" s="23" t="str">
        <f aca="false">IF($A80="","",IF($Q80=0,"?",IF(AND(INDEX('합격 기준 수치표'!$J$6:$J$13,$Q80)="",INDEX('합격 기준 수치표'!$K$6:$K$13,$Q80)=""),"-",IF(K80="","N/A",IF(OR(AND(INDEX('합격 기준 수치표'!$J$6:$J$13,$Q80)&lt;&gt;"",K80&lt;INDEX('합격 기준 수치표'!$J$6:$J$13,$Q80)),AND(INDEX('합격 기준 수치표'!$K$6:$K$13,$Q80)&lt;&gt;"",K80&gt;INDEX('합격 기준 수치표'!$K$6:$K$13,$Q80))),"X","OK")))))</f>
        <v/>
      </c>
      <c r="W80" s="23" t="str">
        <f aca="false">IF($A80="","",IF($Q80=0,"?",IF(AND(INDEX('합격 기준 수치표'!$L$6:$L$13,$Q80)="",INDEX('합격 기준 수치표'!$M$6:$M$13,$Q80)=""),"-",IF(L80="","N/A",IF(OR(AND(INDEX('합격 기준 수치표'!$L$6:$L$13,$Q80)&lt;&gt;"",L80&lt;INDEX('합격 기준 수치표'!$L$6:$L$13,$Q80)),AND(INDEX('합격 기준 수치표'!$M$6:$M$13,$Q80)&lt;&gt;"",L80&gt;INDEX('합격 기준 수치표'!$M$6:$M$13,$Q80))),"X","OK")))))</f>
        <v/>
      </c>
      <c r="X80" s="23" t="str">
        <f aca="false">IF($A80="","",IF($Q80=0,"?",IF(AND(INDEX('합격 기준 수치표'!$N$6:$N$13,$Q80)="",INDEX('합격 기준 수치표'!$O$6:$O$13,$Q80)=""),"-",IF(M80="","N/A",IF(OR(AND(INDEX('합격 기준 수치표'!$N$6:$N$13,$Q80)&lt;&gt;"",M80&lt;INDEX('합격 기준 수치표'!$N$6:$N$13,$Q80)),AND(INDEX('합격 기준 수치표'!$O$6:$O$13,$Q80)&lt;&gt;"",M80&gt;INDEX('합격 기준 수치표'!$O$6:$O$13,$Q80))),"X","OK")))))</f>
        <v/>
      </c>
      <c r="Y80" s="23" t="str">
        <f aca="false">IF($A80="","",IF($Q80=0,"?",IF(AND(INDEX('합격 기준 수치표'!$P$6:$P$13,$Q80)="",INDEX('합격 기준 수치표'!$Q$6:$Q$13,$Q80)=""),"-",IF(N80="","N/A",IF(OR(AND(INDEX('합격 기준 수치표'!$P$6:$P$13,$Q80)&lt;&gt;"",N80&lt;INDEX('합격 기준 수치표'!$P$6:$P$13,$Q80)),AND(INDEX('합격 기준 수치표'!$Q$6:$Q$13,$Q80)&lt;&gt;"",N80&gt;INDEX('합격 기준 수치표'!$Q$6:$Q$13,$Q80))),"X","OK")))))</f>
        <v/>
      </c>
      <c r="Z80" s="48" t="str">
        <f aca="false">IF($A80="","",COUNTIF($S80:$Y80,"X")+IF($R80="X",1,0))</f>
        <v/>
      </c>
      <c r="AA80" s="21" t="str">
        <f aca="false">IF($A80="","",IF($Q80=0,"자세명 확인",IF($Z80=0,"PASS","FAIL")))</f>
        <v/>
      </c>
    </row>
    <row r="81" customFormat="false" ht="15" hidden="false" customHeight="false" outlineLevel="0" collapsed="false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23" t="str">
        <f aca="false">IF($A81="","",IFERROR(MATCH($C81,'합격 기준 수치표'!$B$6:$B$13,0),0))</f>
        <v/>
      </c>
      <c r="R81" s="23" t="str">
        <f aca="false">IF($A81="","",IF(AND(E81&gt;='합격 기준 수치표'!$D$17,F81&gt;='합격 기준 수치표'!$D$18,F81&lt;='합격 기준 수치표'!$D$19,G81&gt;='합격 기준 수치표'!$D$20,G81&lt;='합격 기준 수치표'!$D$21,P81&lt;='합격 기준 수치표'!$D$23,OR(H81&lt;='합격 기준 수치표'!$D$24,O81="",O81&lt;='합격 기준 수치표'!$D$22)),"OK","X"))</f>
        <v/>
      </c>
      <c r="S81" s="23" t="str">
        <f aca="false">IF($A81="","",IF($Q81=0,"?",IF(AND(INDEX('합격 기준 수치표'!$D$6:$D$13,$Q81)="",INDEX('합격 기준 수치표'!$E$6:$E$13,$Q81)=""),"-",IF(H81="","N/A",IF(OR(AND(INDEX('합격 기준 수치표'!$D$6:$D$13,$Q81)&lt;&gt;"",H81&lt;INDEX('합격 기준 수치표'!$D$6:$D$13,$Q81)),AND(INDEX('합격 기준 수치표'!$E$6:$E$13,$Q81)&lt;&gt;"",H81&gt;INDEX('합격 기준 수치표'!$E$6:$E$13,$Q81))),"X","OK")))))</f>
        <v/>
      </c>
      <c r="T81" s="23" t="str">
        <f aca="false">IF($A81="","",IF($Q81=0,"?",IF(AND(INDEX('합격 기준 수치표'!$F$6:$F$13,$Q81)="",INDEX('합격 기준 수치표'!$G$6:$G$13,$Q81)=""),"-",IF(I81="","N/A",IF(OR(AND(INDEX('합격 기준 수치표'!$F$6:$F$13,$Q81)&lt;&gt;"",I81&lt;INDEX('합격 기준 수치표'!$F$6:$F$13,$Q81)),AND(INDEX('합격 기준 수치표'!$G$6:$G$13,$Q81)&lt;&gt;"",I81&gt;INDEX('합격 기준 수치표'!$G$6:$G$13,$Q81))),"X","OK")))))</f>
        <v/>
      </c>
      <c r="U81" s="23" t="str">
        <f aca="false">IF($A81="","",IF($Q81=0,"?",IF(AND(INDEX('합격 기준 수치표'!$H$6:$H$13,$Q81)="",INDEX('합격 기준 수치표'!$I$6:$I$13,$Q81)=""),"-",IF(J81="","N/A",IF(OR(AND(INDEX('합격 기준 수치표'!$H$6:$H$13,$Q81)&lt;&gt;"",J81&lt;INDEX('합격 기준 수치표'!$H$6:$H$13,$Q81)),AND(INDEX('합격 기준 수치표'!$I$6:$I$13,$Q81)&lt;&gt;"",J81&gt;INDEX('합격 기준 수치표'!$I$6:$I$13,$Q81))),"X","OK")))))</f>
        <v/>
      </c>
      <c r="V81" s="23" t="str">
        <f aca="false">IF($A81="","",IF($Q81=0,"?",IF(AND(INDEX('합격 기준 수치표'!$J$6:$J$13,$Q81)="",INDEX('합격 기준 수치표'!$K$6:$K$13,$Q81)=""),"-",IF(K81="","N/A",IF(OR(AND(INDEX('합격 기준 수치표'!$J$6:$J$13,$Q81)&lt;&gt;"",K81&lt;INDEX('합격 기준 수치표'!$J$6:$J$13,$Q81)),AND(INDEX('합격 기준 수치표'!$K$6:$K$13,$Q81)&lt;&gt;"",K81&gt;INDEX('합격 기준 수치표'!$K$6:$K$13,$Q81))),"X","OK")))))</f>
        <v/>
      </c>
      <c r="W81" s="23" t="str">
        <f aca="false">IF($A81="","",IF($Q81=0,"?",IF(AND(INDEX('합격 기준 수치표'!$L$6:$L$13,$Q81)="",INDEX('합격 기준 수치표'!$M$6:$M$13,$Q81)=""),"-",IF(L81="","N/A",IF(OR(AND(INDEX('합격 기준 수치표'!$L$6:$L$13,$Q81)&lt;&gt;"",L81&lt;INDEX('합격 기준 수치표'!$L$6:$L$13,$Q81)),AND(INDEX('합격 기준 수치표'!$M$6:$M$13,$Q81)&lt;&gt;"",L81&gt;INDEX('합격 기준 수치표'!$M$6:$M$13,$Q81))),"X","OK")))))</f>
        <v/>
      </c>
      <c r="X81" s="23" t="str">
        <f aca="false">IF($A81="","",IF($Q81=0,"?",IF(AND(INDEX('합격 기준 수치표'!$N$6:$N$13,$Q81)="",INDEX('합격 기준 수치표'!$O$6:$O$13,$Q81)=""),"-",IF(M81="","N/A",IF(OR(AND(INDEX('합격 기준 수치표'!$N$6:$N$13,$Q81)&lt;&gt;"",M81&lt;INDEX('합격 기준 수치표'!$N$6:$N$13,$Q81)),AND(INDEX('합격 기준 수치표'!$O$6:$O$13,$Q81)&lt;&gt;"",M81&gt;INDEX('합격 기준 수치표'!$O$6:$O$13,$Q81))),"X","OK")))))</f>
        <v/>
      </c>
      <c r="Y81" s="23" t="str">
        <f aca="false">IF($A81="","",IF($Q81=0,"?",IF(AND(INDEX('합격 기준 수치표'!$P$6:$P$13,$Q81)="",INDEX('합격 기준 수치표'!$Q$6:$Q$13,$Q81)=""),"-",IF(N81="","N/A",IF(OR(AND(INDEX('합격 기준 수치표'!$P$6:$P$13,$Q81)&lt;&gt;"",N81&lt;INDEX('합격 기준 수치표'!$P$6:$P$13,$Q81)),AND(INDEX('합격 기준 수치표'!$Q$6:$Q$13,$Q81)&lt;&gt;"",N81&gt;INDEX('합격 기준 수치표'!$Q$6:$Q$13,$Q81))),"X","OK")))))</f>
        <v/>
      </c>
      <c r="Z81" s="48" t="str">
        <f aca="false">IF($A81="","",COUNTIF($S81:$Y81,"X")+IF($R81="X",1,0))</f>
        <v/>
      </c>
      <c r="AA81" s="21" t="str">
        <f aca="false">IF($A81="","",IF($Q81=0,"자세명 확인",IF($Z81=0,"PASS","FAIL")))</f>
        <v/>
      </c>
    </row>
    <row r="82" customFormat="false" ht="15" hidden="false" customHeight="false" outlineLevel="0" collapsed="false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23" t="str">
        <f aca="false">IF($A82="","",IFERROR(MATCH($C82,'합격 기준 수치표'!$B$6:$B$13,0),0))</f>
        <v/>
      </c>
      <c r="R82" s="23" t="str">
        <f aca="false">IF($A82="","",IF(AND(E82&gt;='합격 기준 수치표'!$D$17,F82&gt;='합격 기준 수치표'!$D$18,F82&lt;='합격 기준 수치표'!$D$19,G82&gt;='합격 기준 수치표'!$D$20,G82&lt;='합격 기준 수치표'!$D$21,P82&lt;='합격 기준 수치표'!$D$23,OR(H82&lt;='합격 기준 수치표'!$D$24,O82="",O82&lt;='합격 기준 수치표'!$D$22)),"OK","X"))</f>
        <v/>
      </c>
      <c r="S82" s="23" t="str">
        <f aca="false">IF($A82="","",IF($Q82=0,"?",IF(AND(INDEX('합격 기준 수치표'!$D$6:$D$13,$Q82)="",INDEX('합격 기준 수치표'!$E$6:$E$13,$Q82)=""),"-",IF(H82="","N/A",IF(OR(AND(INDEX('합격 기준 수치표'!$D$6:$D$13,$Q82)&lt;&gt;"",H82&lt;INDEX('합격 기준 수치표'!$D$6:$D$13,$Q82)),AND(INDEX('합격 기준 수치표'!$E$6:$E$13,$Q82)&lt;&gt;"",H82&gt;INDEX('합격 기준 수치표'!$E$6:$E$13,$Q82))),"X","OK")))))</f>
        <v/>
      </c>
      <c r="T82" s="23" t="str">
        <f aca="false">IF($A82="","",IF($Q82=0,"?",IF(AND(INDEX('합격 기준 수치표'!$F$6:$F$13,$Q82)="",INDEX('합격 기준 수치표'!$G$6:$G$13,$Q82)=""),"-",IF(I82="","N/A",IF(OR(AND(INDEX('합격 기준 수치표'!$F$6:$F$13,$Q82)&lt;&gt;"",I82&lt;INDEX('합격 기준 수치표'!$F$6:$F$13,$Q82)),AND(INDEX('합격 기준 수치표'!$G$6:$G$13,$Q82)&lt;&gt;"",I82&gt;INDEX('합격 기준 수치표'!$G$6:$G$13,$Q82))),"X","OK")))))</f>
        <v/>
      </c>
      <c r="U82" s="23" t="str">
        <f aca="false">IF($A82="","",IF($Q82=0,"?",IF(AND(INDEX('합격 기준 수치표'!$H$6:$H$13,$Q82)="",INDEX('합격 기준 수치표'!$I$6:$I$13,$Q82)=""),"-",IF(J82="","N/A",IF(OR(AND(INDEX('합격 기준 수치표'!$H$6:$H$13,$Q82)&lt;&gt;"",J82&lt;INDEX('합격 기준 수치표'!$H$6:$H$13,$Q82)),AND(INDEX('합격 기준 수치표'!$I$6:$I$13,$Q82)&lt;&gt;"",J82&gt;INDEX('합격 기준 수치표'!$I$6:$I$13,$Q82))),"X","OK")))))</f>
        <v/>
      </c>
      <c r="V82" s="23" t="str">
        <f aca="false">IF($A82="","",IF($Q82=0,"?",IF(AND(INDEX('합격 기준 수치표'!$J$6:$J$13,$Q82)="",INDEX('합격 기준 수치표'!$K$6:$K$13,$Q82)=""),"-",IF(K82="","N/A",IF(OR(AND(INDEX('합격 기준 수치표'!$J$6:$J$13,$Q82)&lt;&gt;"",K82&lt;INDEX('합격 기준 수치표'!$J$6:$J$13,$Q82)),AND(INDEX('합격 기준 수치표'!$K$6:$K$13,$Q82)&lt;&gt;"",K82&gt;INDEX('합격 기준 수치표'!$K$6:$K$13,$Q82))),"X","OK")))))</f>
        <v/>
      </c>
      <c r="W82" s="23" t="str">
        <f aca="false">IF($A82="","",IF($Q82=0,"?",IF(AND(INDEX('합격 기준 수치표'!$L$6:$L$13,$Q82)="",INDEX('합격 기준 수치표'!$M$6:$M$13,$Q82)=""),"-",IF(L82="","N/A",IF(OR(AND(INDEX('합격 기준 수치표'!$L$6:$L$13,$Q82)&lt;&gt;"",L82&lt;INDEX('합격 기준 수치표'!$L$6:$L$13,$Q82)),AND(INDEX('합격 기준 수치표'!$M$6:$M$13,$Q82)&lt;&gt;"",L82&gt;INDEX('합격 기준 수치표'!$M$6:$M$13,$Q82))),"X","OK")))))</f>
        <v/>
      </c>
      <c r="X82" s="23" t="str">
        <f aca="false">IF($A82="","",IF($Q82=0,"?",IF(AND(INDEX('합격 기준 수치표'!$N$6:$N$13,$Q82)="",INDEX('합격 기준 수치표'!$O$6:$O$13,$Q82)=""),"-",IF(M82="","N/A",IF(OR(AND(INDEX('합격 기준 수치표'!$N$6:$N$13,$Q82)&lt;&gt;"",M82&lt;INDEX('합격 기준 수치표'!$N$6:$N$13,$Q82)),AND(INDEX('합격 기준 수치표'!$O$6:$O$13,$Q82)&lt;&gt;"",M82&gt;INDEX('합격 기준 수치표'!$O$6:$O$13,$Q82))),"X","OK")))))</f>
        <v/>
      </c>
      <c r="Y82" s="23" t="str">
        <f aca="false">IF($A82="","",IF($Q82=0,"?",IF(AND(INDEX('합격 기준 수치표'!$P$6:$P$13,$Q82)="",INDEX('합격 기준 수치표'!$Q$6:$Q$13,$Q82)=""),"-",IF(N82="","N/A",IF(OR(AND(INDEX('합격 기준 수치표'!$P$6:$P$13,$Q82)&lt;&gt;"",N82&lt;INDEX('합격 기준 수치표'!$P$6:$P$13,$Q82)),AND(INDEX('합격 기준 수치표'!$Q$6:$Q$13,$Q82)&lt;&gt;"",N82&gt;INDEX('합격 기준 수치표'!$Q$6:$Q$13,$Q82))),"X","OK")))))</f>
        <v/>
      </c>
      <c r="Z82" s="48" t="str">
        <f aca="false">IF($A82="","",COUNTIF($S82:$Y82,"X")+IF($R82="X",1,0))</f>
        <v/>
      </c>
      <c r="AA82" s="21" t="str">
        <f aca="false">IF($A82="","",IF($Q82=0,"자세명 확인",IF($Z82=0,"PASS","FAIL")))</f>
        <v/>
      </c>
    </row>
    <row r="83" customFormat="false" ht="15" hidden="false" customHeight="false" outlineLevel="0" collapsed="false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23" t="str">
        <f aca="false">IF($A83="","",IFERROR(MATCH($C83,'합격 기준 수치표'!$B$6:$B$13,0),0))</f>
        <v/>
      </c>
      <c r="R83" s="23" t="str">
        <f aca="false">IF($A83="","",IF(AND(E83&gt;='합격 기준 수치표'!$D$17,F83&gt;='합격 기준 수치표'!$D$18,F83&lt;='합격 기준 수치표'!$D$19,G83&gt;='합격 기준 수치표'!$D$20,G83&lt;='합격 기준 수치표'!$D$21,P83&lt;='합격 기준 수치표'!$D$23,OR(H83&lt;='합격 기준 수치표'!$D$24,O83="",O83&lt;='합격 기준 수치표'!$D$22)),"OK","X"))</f>
        <v/>
      </c>
      <c r="S83" s="23" t="str">
        <f aca="false">IF($A83="","",IF($Q83=0,"?",IF(AND(INDEX('합격 기준 수치표'!$D$6:$D$13,$Q83)="",INDEX('합격 기준 수치표'!$E$6:$E$13,$Q83)=""),"-",IF(H83="","N/A",IF(OR(AND(INDEX('합격 기준 수치표'!$D$6:$D$13,$Q83)&lt;&gt;"",H83&lt;INDEX('합격 기준 수치표'!$D$6:$D$13,$Q83)),AND(INDEX('합격 기준 수치표'!$E$6:$E$13,$Q83)&lt;&gt;"",H83&gt;INDEX('합격 기준 수치표'!$E$6:$E$13,$Q83))),"X","OK")))))</f>
        <v/>
      </c>
      <c r="T83" s="23" t="str">
        <f aca="false">IF($A83="","",IF($Q83=0,"?",IF(AND(INDEX('합격 기준 수치표'!$F$6:$F$13,$Q83)="",INDEX('합격 기준 수치표'!$G$6:$G$13,$Q83)=""),"-",IF(I83="","N/A",IF(OR(AND(INDEX('합격 기준 수치표'!$F$6:$F$13,$Q83)&lt;&gt;"",I83&lt;INDEX('합격 기준 수치표'!$F$6:$F$13,$Q83)),AND(INDEX('합격 기준 수치표'!$G$6:$G$13,$Q83)&lt;&gt;"",I83&gt;INDEX('합격 기준 수치표'!$G$6:$G$13,$Q83))),"X","OK")))))</f>
        <v/>
      </c>
      <c r="U83" s="23" t="str">
        <f aca="false">IF($A83="","",IF($Q83=0,"?",IF(AND(INDEX('합격 기준 수치표'!$H$6:$H$13,$Q83)="",INDEX('합격 기준 수치표'!$I$6:$I$13,$Q83)=""),"-",IF(J83="","N/A",IF(OR(AND(INDEX('합격 기준 수치표'!$H$6:$H$13,$Q83)&lt;&gt;"",J83&lt;INDEX('합격 기준 수치표'!$H$6:$H$13,$Q83)),AND(INDEX('합격 기준 수치표'!$I$6:$I$13,$Q83)&lt;&gt;"",J83&gt;INDEX('합격 기준 수치표'!$I$6:$I$13,$Q83))),"X","OK")))))</f>
        <v/>
      </c>
      <c r="V83" s="23" t="str">
        <f aca="false">IF($A83="","",IF($Q83=0,"?",IF(AND(INDEX('합격 기준 수치표'!$J$6:$J$13,$Q83)="",INDEX('합격 기준 수치표'!$K$6:$K$13,$Q83)=""),"-",IF(K83="","N/A",IF(OR(AND(INDEX('합격 기준 수치표'!$J$6:$J$13,$Q83)&lt;&gt;"",K83&lt;INDEX('합격 기준 수치표'!$J$6:$J$13,$Q83)),AND(INDEX('합격 기준 수치표'!$K$6:$K$13,$Q83)&lt;&gt;"",K83&gt;INDEX('합격 기준 수치표'!$K$6:$K$13,$Q83))),"X","OK")))))</f>
        <v/>
      </c>
      <c r="W83" s="23" t="str">
        <f aca="false">IF($A83="","",IF($Q83=0,"?",IF(AND(INDEX('합격 기준 수치표'!$L$6:$L$13,$Q83)="",INDEX('합격 기준 수치표'!$M$6:$M$13,$Q83)=""),"-",IF(L83="","N/A",IF(OR(AND(INDEX('합격 기준 수치표'!$L$6:$L$13,$Q83)&lt;&gt;"",L83&lt;INDEX('합격 기준 수치표'!$L$6:$L$13,$Q83)),AND(INDEX('합격 기준 수치표'!$M$6:$M$13,$Q83)&lt;&gt;"",L83&gt;INDEX('합격 기준 수치표'!$M$6:$M$13,$Q83))),"X","OK")))))</f>
        <v/>
      </c>
      <c r="X83" s="23" t="str">
        <f aca="false">IF($A83="","",IF($Q83=0,"?",IF(AND(INDEX('합격 기준 수치표'!$N$6:$N$13,$Q83)="",INDEX('합격 기준 수치표'!$O$6:$O$13,$Q83)=""),"-",IF(M83="","N/A",IF(OR(AND(INDEX('합격 기준 수치표'!$N$6:$N$13,$Q83)&lt;&gt;"",M83&lt;INDEX('합격 기준 수치표'!$N$6:$N$13,$Q83)),AND(INDEX('합격 기준 수치표'!$O$6:$O$13,$Q83)&lt;&gt;"",M83&gt;INDEX('합격 기준 수치표'!$O$6:$O$13,$Q83))),"X","OK")))))</f>
        <v/>
      </c>
      <c r="Y83" s="23" t="str">
        <f aca="false">IF($A83="","",IF($Q83=0,"?",IF(AND(INDEX('합격 기준 수치표'!$P$6:$P$13,$Q83)="",INDEX('합격 기준 수치표'!$Q$6:$Q$13,$Q83)=""),"-",IF(N83="","N/A",IF(OR(AND(INDEX('합격 기준 수치표'!$P$6:$P$13,$Q83)&lt;&gt;"",N83&lt;INDEX('합격 기준 수치표'!$P$6:$P$13,$Q83)),AND(INDEX('합격 기준 수치표'!$Q$6:$Q$13,$Q83)&lt;&gt;"",N83&gt;INDEX('합격 기준 수치표'!$Q$6:$Q$13,$Q83))),"X","OK")))))</f>
        <v/>
      </c>
      <c r="Z83" s="48" t="str">
        <f aca="false">IF($A83="","",COUNTIF($S83:$Y83,"X")+IF($R83="X",1,0))</f>
        <v/>
      </c>
      <c r="AA83" s="21" t="str">
        <f aca="false">IF($A83="","",IF($Q83=0,"자세명 확인",IF($Z83=0,"PASS","FAIL")))</f>
        <v/>
      </c>
    </row>
    <row r="84" customFormat="false" ht="15" hidden="false" customHeight="false" outlineLevel="0" collapsed="false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23" t="str">
        <f aca="false">IF($A84="","",IFERROR(MATCH($C84,'합격 기준 수치표'!$B$6:$B$13,0),0))</f>
        <v/>
      </c>
      <c r="R84" s="23" t="str">
        <f aca="false">IF($A84="","",IF(AND(E84&gt;='합격 기준 수치표'!$D$17,F84&gt;='합격 기준 수치표'!$D$18,F84&lt;='합격 기준 수치표'!$D$19,G84&gt;='합격 기준 수치표'!$D$20,G84&lt;='합격 기준 수치표'!$D$21,P84&lt;='합격 기준 수치표'!$D$23,OR(H84&lt;='합격 기준 수치표'!$D$24,O84="",O84&lt;='합격 기준 수치표'!$D$22)),"OK","X"))</f>
        <v/>
      </c>
      <c r="S84" s="23" t="str">
        <f aca="false">IF($A84="","",IF($Q84=0,"?",IF(AND(INDEX('합격 기준 수치표'!$D$6:$D$13,$Q84)="",INDEX('합격 기준 수치표'!$E$6:$E$13,$Q84)=""),"-",IF(H84="","N/A",IF(OR(AND(INDEX('합격 기준 수치표'!$D$6:$D$13,$Q84)&lt;&gt;"",H84&lt;INDEX('합격 기준 수치표'!$D$6:$D$13,$Q84)),AND(INDEX('합격 기준 수치표'!$E$6:$E$13,$Q84)&lt;&gt;"",H84&gt;INDEX('합격 기준 수치표'!$E$6:$E$13,$Q84))),"X","OK")))))</f>
        <v/>
      </c>
      <c r="T84" s="23" t="str">
        <f aca="false">IF($A84="","",IF($Q84=0,"?",IF(AND(INDEX('합격 기준 수치표'!$F$6:$F$13,$Q84)="",INDEX('합격 기준 수치표'!$G$6:$G$13,$Q84)=""),"-",IF(I84="","N/A",IF(OR(AND(INDEX('합격 기준 수치표'!$F$6:$F$13,$Q84)&lt;&gt;"",I84&lt;INDEX('합격 기준 수치표'!$F$6:$F$13,$Q84)),AND(INDEX('합격 기준 수치표'!$G$6:$G$13,$Q84)&lt;&gt;"",I84&gt;INDEX('합격 기준 수치표'!$G$6:$G$13,$Q84))),"X","OK")))))</f>
        <v/>
      </c>
      <c r="U84" s="23" t="str">
        <f aca="false">IF($A84="","",IF($Q84=0,"?",IF(AND(INDEX('합격 기준 수치표'!$H$6:$H$13,$Q84)="",INDEX('합격 기준 수치표'!$I$6:$I$13,$Q84)=""),"-",IF(J84="","N/A",IF(OR(AND(INDEX('합격 기준 수치표'!$H$6:$H$13,$Q84)&lt;&gt;"",J84&lt;INDEX('합격 기준 수치표'!$H$6:$H$13,$Q84)),AND(INDEX('합격 기준 수치표'!$I$6:$I$13,$Q84)&lt;&gt;"",J84&gt;INDEX('합격 기준 수치표'!$I$6:$I$13,$Q84))),"X","OK")))))</f>
        <v/>
      </c>
      <c r="V84" s="23" t="str">
        <f aca="false">IF($A84="","",IF($Q84=0,"?",IF(AND(INDEX('합격 기준 수치표'!$J$6:$J$13,$Q84)="",INDEX('합격 기준 수치표'!$K$6:$K$13,$Q84)=""),"-",IF(K84="","N/A",IF(OR(AND(INDEX('합격 기준 수치표'!$J$6:$J$13,$Q84)&lt;&gt;"",K84&lt;INDEX('합격 기준 수치표'!$J$6:$J$13,$Q84)),AND(INDEX('합격 기준 수치표'!$K$6:$K$13,$Q84)&lt;&gt;"",K84&gt;INDEX('합격 기준 수치표'!$K$6:$K$13,$Q84))),"X","OK")))))</f>
        <v/>
      </c>
      <c r="W84" s="23" t="str">
        <f aca="false">IF($A84="","",IF($Q84=0,"?",IF(AND(INDEX('합격 기준 수치표'!$L$6:$L$13,$Q84)="",INDEX('합격 기준 수치표'!$M$6:$M$13,$Q84)=""),"-",IF(L84="","N/A",IF(OR(AND(INDEX('합격 기준 수치표'!$L$6:$L$13,$Q84)&lt;&gt;"",L84&lt;INDEX('합격 기준 수치표'!$L$6:$L$13,$Q84)),AND(INDEX('합격 기준 수치표'!$M$6:$M$13,$Q84)&lt;&gt;"",L84&gt;INDEX('합격 기준 수치표'!$M$6:$M$13,$Q84))),"X","OK")))))</f>
        <v/>
      </c>
      <c r="X84" s="23" t="str">
        <f aca="false">IF($A84="","",IF($Q84=0,"?",IF(AND(INDEX('합격 기준 수치표'!$N$6:$N$13,$Q84)="",INDEX('합격 기준 수치표'!$O$6:$O$13,$Q84)=""),"-",IF(M84="","N/A",IF(OR(AND(INDEX('합격 기준 수치표'!$N$6:$N$13,$Q84)&lt;&gt;"",M84&lt;INDEX('합격 기준 수치표'!$N$6:$N$13,$Q84)),AND(INDEX('합격 기준 수치표'!$O$6:$O$13,$Q84)&lt;&gt;"",M84&gt;INDEX('합격 기준 수치표'!$O$6:$O$13,$Q84))),"X","OK")))))</f>
        <v/>
      </c>
      <c r="Y84" s="23" t="str">
        <f aca="false">IF($A84="","",IF($Q84=0,"?",IF(AND(INDEX('합격 기준 수치표'!$P$6:$P$13,$Q84)="",INDEX('합격 기준 수치표'!$Q$6:$Q$13,$Q84)=""),"-",IF(N84="","N/A",IF(OR(AND(INDEX('합격 기준 수치표'!$P$6:$P$13,$Q84)&lt;&gt;"",N84&lt;INDEX('합격 기준 수치표'!$P$6:$P$13,$Q84)),AND(INDEX('합격 기준 수치표'!$Q$6:$Q$13,$Q84)&lt;&gt;"",N84&gt;INDEX('합격 기준 수치표'!$Q$6:$Q$13,$Q84))),"X","OK")))))</f>
        <v/>
      </c>
      <c r="Z84" s="48" t="str">
        <f aca="false">IF($A84="","",COUNTIF($S84:$Y84,"X")+IF($R84="X",1,0))</f>
        <v/>
      </c>
      <c r="AA84" s="21" t="str">
        <f aca="false">IF($A84="","",IF($Q84=0,"자세명 확인",IF($Z84=0,"PASS","FAIL")))</f>
        <v/>
      </c>
    </row>
    <row r="85" customFormat="false" ht="15" hidden="false" customHeight="false" outlineLevel="0" collapsed="false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23" t="str">
        <f aca="false">IF($A85="","",IFERROR(MATCH($C85,'합격 기준 수치표'!$B$6:$B$13,0),0))</f>
        <v/>
      </c>
      <c r="R85" s="23" t="str">
        <f aca="false">IF($A85="","",IF(AND(E85&gt;='합격 기준 수치표'!$D$17,F85&gt;='합격 기준 수치표'!$D$18,F85&lt;='합격 기준 수치표'!$D$19,G85&gt;='합격 기준 수치표'!$D$20,G85&lt;='합격 기준 수치표'!$D$21,P85&lt;='합격 기준 수치표'!$D$23,OR(H85&lt;='합격 기준 수치표'!$D$24,O85="",O85&lt;='합격 기준 수치표'!$D$22)),"OK","X"))</f>
        <v/>
      </c>
      <c r="S85" s="23" t="str">
        <f aca="false">IF($A85="","",IF($Q85=0,"?",IF(AND(INDEX('합격 기준 수치표'!$D$6:$D$13,$Q85)="",INDEX('합격 기준 수치표'!$E$6:$E$13,$Q85)=""),"-",IF(H85="","N/A",IF(OR(AND(INDEX('합격 기준 수치표'!$D$6:$D$13,$Q85)&lt;&gt;"",H85&lt;INDEX('합격 기준 수치표'!$D$6:$D$13,$Q85)),AND(INDEX('합격 기준 수치표'!$E$6:$E$13,$Q85)&lt;&gt;"",H85&gt;INDEX('합격 기준 수치표'!$E$6:$E$13,$Q85))),"X","OK")))))</f>
        <v/>
      </c>
      <c r="T85" s="23" t="str">
        <f aca="false">IF($A85="","",IF($Q85=0,"?",IF(AND(INDEX('합격 기준 수치표'!$F$6:$F$13,$Q85)="",INDEX('합격 기준 수치표'!$G$6:$G$13,$Q85)=""),"-",IF(I85="","N/A",IF(OR(AND(INDEX('합격 기준 수치표'!$F$6:$F$13,$Q85)&lt;&gt;"",I85&lt;INDEX('합격 기준 수치표'!$F$6:$F$13,$Q85)),AND(INDEX('합격 기준 수치표'!$G$6:$G$13,$Q85)&lt;&gt;"",I85&gt;INDEX('합격 기준 수치표'!$G$6:$G$13,$Q85))),"X","OK")))))</f>
        <v/>
      </c>
      <c r="U85" s="23" t="str">
        <f aca="false">IF($A85="","",IF($Q85=0,"?",IF(AND(INDEX('합격 기준 수치표'!$H$6:$H$13,$Q85)="",INDEX('합격 기준 수치표'!$I$6:$I$13,$Q85)=""),"-",IF(J85="","N/A",IF(OR(AND(INDEX('합격 기준 수치표'!$H$6:$H$13,$Q85)&lt;&gt;"",J85&lt;INDEX('합격 기준 수치표'!$H$6:$H$13,$Q85)),AND(INDEX('합격 기준 수치표'!$I$6:$I$13,$Q85)&lt;&gt;"",J85&gt;INDEX('합격 기준 수치표'!$I$6:$I$13,$Q85))),"X","OK")))))</f>
        <v/>
      </c>
      <c r="V85" s="23" t="str">
        <f aca="false">IF($A85="","",IF($Q85=0,"?",IF(AND(INDEX('합격 기준 수치표'!$J$6:$J$13,$Q85)="",INDEX('합격 기준 수치표'!$K$6:$K$13,$Q85)=""),"-",IF(K85="","N/A",IF(OR(AND(INDEX('합격 기준 수치표'!$J$6:$J$13,$Q85)&lt;&gt;"",K85&lt;INDEX('합격 기준 수치표'!$J$6:$J$13,$Q85)),AND(INDEX('합격 기준 수치표'!$K$6:$K$13,$Q85)&lt;&gt;"",K85&gt;INDEX('합격 기준 수치표'!$K$6:$K$13,$Q85))),"X","OK")))))</f>
        <v/>
      </c>
      <c r="W85" s="23" t="str">
        <f aca="false">IF($A85="","",IF($Q85=0,"?",IF(AND(INDEX('합격 기준 수치표'!$L$6:$L$13,$Q85)="",INDEX('합격 기준 수치표'!$M$6:$M$13,$Q85)=""),"-",IF(L85="","N/A",IF(OR(AND(INDEX('합격 기준 수치표'!$L$6:$L$13,$Q85)&lt;&gt;"",L85&lt;INDEX('합격 기준 수치표'!$L$6:$L$13,$Q85)),AND(INDEX('합격 기준 수치표'!$M$6:$M$13,$Q85)&lt;&gt;"",L85&gt;INDEX('합격 기준 수치표'!$M$6:$M$13,$Q85))),"X","OK")))))</f>
        <v/>
      </c>
      <c r="X85" s="23" t="str">
        <f aca="false">IF($A85="","",IF($Q85=0,"?",IF(AND(INDEX('합격 기준 수치표'!$N$6:$N$13,$Q85)="",INDEX('합격 기준 수치표'!$O$6:$O$13,$Q85)=""),"-",IF(M85="","N/A",IF(OR(AND(INDEX('합격 기준 수치표'!$N$6:$N$13,$Q85)&lt;&gt;"",M85&lt;INDEX('합격 기준 수치표'!$N$6:$N$13,$Q85)),AND(INDEX('합격 기준 수치표'!$O$6:$O$13,$Q85)&lt;&gt;"",M85&gt;INDEX('합격 기준 수치표'!$O$6:$O$13,$Q85))),"X","OK")))))</f>
        <v/>
      </c>
      <c r="Y85" s="23" t="str">
        <f aca="false">IF($A85="","",IF($Q85=0,"?",IF(AND(INDEX('합격 기준 수치표'!$P$6:$P$13,$Q85)="",INDEX('합격 기준 수치표'!$Q$6:$Q$13,$Q85)=""),"-",IF(N85="","N/A",IF(OR(AND(INDEX('합격 기준 수치표'!$P$6:$P$13,$Q85)&lt;&gt;"",N85&lt;INDEX('합격 기준 수치표'!$P$6:$P$13,$Q85)),AND(INDEX('합격 기준 수치표'!$Q$6:$Q$13,$Q85)&lt;&gt;"",N85&gt;INDEX('합격 기준 수치표'!$Q$6:$Q$13,$Q85))),"X","OK")))))</f>
        <v/>
      </c>
      <c r="Z85" s="48" t="str">
        <f aca="false">IF($A85="","",COUNTIF($S85:$Y85,"X")+IF($R85="X",1,0))</f>
        <v/>
      </c>
      <c r="AA85" s="21" t="str">
        <f aca="false">IF($A85="","",IF($Q85=0,"자세명 확인",IF($Z85=0,"PASS","FAIL")))</f>
        <v/>
      </c>
    </row>
    <row r="86" customFormat="false" ht="15" hidden="false" customHeight="false" outlineLevel="0" collapsed="false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23" t="str">
        <f aca="false">IF($A86="","",IFERROR(MATCH($C86,'합격 기준 수치표'!$B$6:$B$13,0),0))</f>
        <v/>
      </c>
      <c r="R86" s="23" t="str">
        <f aca="false">IF($A86="","",IF(AND(E86&gt;='합격 기준 수치표'!$D$17,F86&gt;='합격 기준 수치표'!$D$18,F86&lt;='합격 기준 수치표'!$D$19,G86&gt;='합격 기준 수치표'!$D$20,G86&lt;='합격 기준 수치표'!$D$21,P86&lt;='합격 기준 수치표'!$D$23,OR(H86&lt;='합격 기준 수치표'!$D$24,O86="",O86&lt;='합격 기준 수치표'!$D$22)),"OK","X"))</f>
        <v/>
      </c>
      <c r="S86" s="23" t="str">
        <f aca="false">IF($A86="","",IF($Q86=0,"?",IF(AND(INDEX('합격 기준 수치표'!$D$6:$D$13,$Q86)="",INDEX('합격 기준 수치표'!$E$6:$E$13,$Q86)=""),"-",IF(H86="","N/A",IF(OR(AND(INDEX('합격 기준 수치표'!$D$6:$D$13,$Q86)&lt;&gt;"",H86&lt;INDEX('합격 기준 수치표'!$D$6:$D$13,$Q86)),AND(INDEX('합격 기준 수치표'!$E$6:$E$13,$Q86)&lt;&gt;"",H86&gt;INDEX('합격 기준 수치표'!$E$6:$E$13,$Q86))),"X","OK")))))</f>
        <v/>
      </c>
      <c r="T86" s="23" t="str">
        <f aca="false">IF($A86="","",IF($Q86=0,"?",IF(AND(INDEX('합격 기준 수치표'!$F$6:$F$13,$Q86)="",INDEX('합격 기준 수치표'!$G$6:$G$13,$Q86)=""),"-",IF(I86="","N/A",IF(OR(AND(INDEX('합격 기준 수치표'!$F$6:$F$13,$Q86)&lt;&gt;"",I86&lt;INDEX('합격 기준 수치표'!$F$6:$F$13,$Q86)),AND(INDEX('합격 기준 수치표'!$G$6:$G$13,$Q86)&lt;&gt;"",I86&gt;INDEX('합격 기준 수치표'!$G$6:$G$13,$Q86))),"X","OK")))))</f>
        <v/>
      </c>
      <c r="U86" s="23" t="str">
        <f aca="false">IF($A86="","",IF($Q86=0,"?",IF(AND(INDEX('합격 기준 수치표'!$H$6:$H$13,$Q86)="",INDEX('합격 기준 수치표'!$I$6:$I$13,$Q86)=""),"-",IF(J86="","N/A",IF(OR(AND(INDEX('합격 기준 수치표'!$H$6:$H$13,$Q86)&lt;&gt;"",J86&lt;INDEX('합격 기준 수치표'!$H$6:$H$13,$Q86)),AND(INDEX('합격 기준 수치표'!$I$6:$I$13,$Q86)&lt;&gt;"",J86&gt;INDEX('합격 기준 수치표'!$I$6:$I$13,$Q86))),"X","OK")))))</f>
        <v/>
      </c>
      <c r="V86" s="23" t="str">
        <f aca="false">IF($A86="","",IF($Q86=0,"?",IF(AND(INDEX('합격 기준 수치표'!$J$6:$J$13,$Q86)="",INDEX('합격 기준 수치표'!$K$6:$K$13,$Q86)=""),"-",IF(K86="","N/A",IF(OR(AND(INDEX('합격 기준 수치표'!$J$6:$J$13,$Q86)&lt;&gt;"",K86&lt;INDEX('합격 기준 수치표'!$J$6:$J$13,$Q86)),AND(INDEX('합격 기준 수치표'!$K$6:$K$13,$Q86)&lt;&gt;"",K86&gt;INDEX('합격 기준 수치표'!$K$6:$K$13,$Q86))),"X","OK")))))</f>
        <v/>
      </c>
      <c r="W86" s="23" t="str">
        <f aca="false">IF($A86="","",IF($Q86=0,"?",IF(AND(INDEX('합격 기준 수치표'!$L$6:$L$13,$Q86)="",INDEX('합격 기준 수치표'!$M$6:$M$13,$Q86)=""),"-",IF(L86="","N/A",IF(OR(AND(INDEX('합격 기준 수치표'!$L$6:$L$13,$Q86)&lt;&gt;"",L86&lt;INDEX('합격 기준 수치표'!$L$6:$L$13,$Q86)),AND(INDEX('합격 기준 수치표'!$M$6:$M$13,$Q86)&lt;&gt;"",L86&gt;INDEX('합격 기준 수치표'!$M$6:$M$13,$Q86))),"X","OK")))))</f>
        <v/>
      </c>
      <c r="X86" s="23" t="str">
        <f aca="false">IF($A86="","",IF($Q86=0,"?",IF(AND(INDEX('합격 기준 수치표'!$N$6:$N$13,$Q86)="",INDEX('합격 기준 수치표'!$O$6:$O$13,$Q86)=""),"-",IF(M86="","N/A",IF(OR(AND(INDEX('합격 기준 수치표'!$N$6:$N$13,$Q86)&lt;&gt;"",M86&lt;INDEX('합격 기준 수치표'!$N$6:$N$13,$Q86)),AND(INDEX('합격 기준 수치표'!$O$6:$O$13,$Q86)&lt;&gt;"",M86&gt;INDEX('합격 기준 수치표'!$O$6:$O$13,$Q86))),"X","OK")))))</f>
        <v/>
      </c>
      <c r="Y86" s="23" t="str">
        <f aca="false">IF($A86="","",IF($Q86=0,"?",IF(AND(INDEX('합격 기준 수치표'!$P$6:$P$13,$Q86)="",INDEX('합격 기준 수치표'!$Q$6:$Q$13,$Q86)=""),"-",IF(N86="","N/A",IF(OR(AND(INDEX('합격 기준 수치표'!$P$6:$P$13,$Q86)&lt;&gt;"",N86&lt;INDEX('합격 기준 수치표'!$P$6:$P$13,$Q86)),AND(INDEX('합격 기준 수치표'!$Q$6:$Q$13,$Q86)&lt;&gt;"",N86&gt;INDEX('합격 기준 수치표'!$Q$6:$Q$13,$Q86))),"X","OK")))))</f>
        <v/>
      </c>
      <c r="Z86" s="48" t="str">
        <f aca="false">IF($A86="","",COUNTIF($S86:$Y86,"X")+IF($R86="X",1,0))</f>
        <v/>
      </c>
      <c r="AA86" s="21" t="str">
        <f aca="false">IF($A86="","",IF($Q86=0,"자세명 확인",IF($Z86=0,"PASS","FAIL")))</f>
        <v/>
      </c>
    </row>
    <row r="87" customFormat="false" ht="15" hidden="false" customHeight="false" outlineLevel="0" collapsed="false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23" t="str">
        <f aca="false">IF($A87="","",IFERROR(MATCH($C87,'합격 기준 수치표'!$B$6:$B$13,0),0))</f>
        <v/>
      </c>
      <c r="R87" s="23" t="str">
        <f aca="false">IF($A87="","",IF(AND(E87&gt;='합격 기준 수치표'!$D$17,F87&gt;='합격 기준 수치표'!$D$18,F87&lt;='합격 기준 수치표'!$D$19,G87&gt;='합격 기준 수치표'!$D$20,G87&lt;='합격 기준 수치표'!$D$21,P87&lt;='합격 기준 수치표'!$D$23,OR(H87&lt;='합격 기준 수치표'!$D$24,O87="",O87&lt;='합격 기준 수치표'!$D$22)),"OK","X"))</f>
        <v/>
      </c>
      <c r="S87" s="23" t="str">
        <f aca="false">IF($A87="","",IF($Q87=0,"?",IF(AND(INDEX('합격 기준 수치표'!$D$6:$D$13,$Q87)="",INDEX('합격 기준 수치표'!$E$6:$E$13,$Q87)=""),"-",IF(H87="","N/A",IF(OR(AND(INDEX('합격 기준 수치표'!$D$6:$D$13,$Q87)&lt;&gt;"",H87&lt;INDEX('합격 기준 수치표'!$D$6:$D$13,$Q87)),AND(INDEX('합격 기준 수치표'!$E$6:$E$13,$Q87)&lt;&gt;"",H87&gt;INDEX('합격 기준 수치표'!$E$6:$E$13,$Q87))),"X","OK")))))</f>
        <v/>
      </c>
      <c r="T87" s="23" t="str">
        <f aca="false">IF($A87="","",IF($Q87=0,"?",IF(AND(INDEX('합격 기준 수치표'!$F$6:$F$13,$Q87)="",INDEX('합격 기준 수치표'!$G$6:$G$13,$Q87)=""),"-",IF(I87="","N/A",IF(OR(AND(INDEX('합격 기준 수치표'!$F$6:$F$13,$Q87)&lt;&gt;"",I87&lt;INDEX('합격 기준 수치표'!$F$6:$F$13,$Q87)),AND(INDEX('합격 기준 수치표'!$G$6:$G$13,$Q87)&lt;&gt;"",I87&gt;INDEX('합격 기준 수치표'!$G$6:$G$13,$Q87))),"X","OK")))))</f>
        <v/>
      </c>
      <c r="U87" s="23" t="str">
        <f aca="false">IF($A87="","",IF($Q87=0,"?",IF(AND(INDEX('합격 기준 수치표'!$H$6:$H$13,$Q87)="",INDEX('합격 기준 수치표'!$I$6:$I$13,$Q87)=""),"-",IF(J87="","N/A",IF(OR(AND(INDEX('합격 기준 수치표'!$H$6:$H$13,$Q87)&lt;&gt;"",J87&lt;INDEX('합격 기준 수치표'!$H$6:$H$13,$Q87)),AND(INDEX('합격 기준 수치표'!$I$6:$I$13,$Q87)&lt;&gt;"",J87&gt;INDEX('합격 기준 수치표'!$I$6:$I$13,$Q87))),"X","OK")))))</f>
        <v/>
      </c>
      <c r="V87" s="23" t="str">
        <f aca="false">IF($A87="","",IF($Q87=0,"?",IF(AND(INDEX('합격 기준 수치표'!$J$6:$J$13,$Q87)="",INDEX('합격 기준 수치표'!$K$6:$K$13,$Q87)=""),"-",IF(K87="","N/A",IF(OR(AND(INDEX('합격 기준 수치표'!$J$6:$J$13,$Q87)&lt;&gt;"",K87&lt;INDEX('합격 기준 수치표'!$J$6:$J$13,$Q87)),AND(INDEX('합격 기준 수치표'!$K$6:$K$13,$Q87)&lt;&gt;"",K87&gt;INDEX('합격 기준 수치표'!$K$6:$K$13,$Q87))),"X","OK")))))</f>
        <v/>
      </c>
      <c r="W87" s="23" t="str">
        <f aca="false">IF($A87="","",IF($Q87=0,"?",IF(AND(INDEX('합격 기준 수치표'!$L$6:$L$13,$Q87)="",INDEX('합격 기준 수치표'!$M$6:$M$13,$Q87)=""),"-",IF(L87="","N/A",IF(OR(AND(INDEX('합격 기준 수치표'!$L$6:$L$13,$Q87)&lt;&gt;"",L87&lt;INDEX('합격 기준 수치표'!$L$6:$L$13,$Q87)),AND(INDEX('합격 기준 수치표'!$M$6:$M$13,$Q87)&lt;&gt;"",L87&gt;INDEX('합격 기준 수치표'!$M$6:$M$13,$Q87))),"X","OK")))))</f>
        <v/>
      </c>
      <c r="X87" s="23" t="str">
        <f aca="false">IF($A87="","",IF($Q87=0,"?",IF(AND(INDEX('합격 기준 수치표'!$N$6:$N$13,$Q87)="",INDEX('합격 기준 수치표'!$O$6:$O$13,$Q87)=""),"-",IF(M87="","N/A",IF(OR(AND(INDEX('합격 기준 수치표'!$N$6:$N$13,$Q87)&lt;&gt;"",M87&lt;INDEX('합격 기준 수치표'!$N$6:$N$13,$Q87)),AND(INDEX('합격 기준 수치표'!$O$6:$O$13,$Q87)&lt;&gt;"",M87&gt;INDEX('합격 기준 수치표'!$O$6:$O$13,$Q87))),"X","OK")))))</f>
        <v/>
      </c>
      <c r="Y87" s="23" t="str">
        <f aca="false">IF($A87="","",IF($Q87=0,"?",IF(AND(INDEX('합격 기준 수치표'!$P$6:$P$13,$Q87)="",INDEX('합격 기준 수치표'!$Q$6:$Q$13,$Q87)=""),"-",IF(N87="","N/A",IF(OR(AND(INDEX('합격 기준 수치표'!$P$6:$P$13,$Q87)&lt;&gt;"",N87&lt;INDEX('합격 기준 수치표'!$P$6:$P$13,$Q87)),AND(INDEX('합격 기준 수치표'!$Q$6:$Q$13,$Q87)&lt;&gt;"",N87&gt;INDEX('합격 기준 수치표'!$Q$6:$Q$13,$Q87))),"X","OK")))))</f>
        <v/>
      </c>
      <c r="Z87" s="48" t="str">
        <f aca="false">IF($A87="","",COUNTIF($S87:$Y87,"X")+IF($R87="X",1,0))</f>
        <v/>
      </c>
      <c r="AA87" s="21" t="str">
        <f aca="false">IF($A87="","",IF($Q87=0,"자세명 확인",IF($Z87=0,"PASS","FAIL")))</f>
        <v/>
      </c>
    </row>
    <row r="88" customFormat="false" ht="15" hidden="false" customHeight="false" outlineLevel="0" collapsed="false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23" t="str">
        <f aca="false">IF($A88="","",IFERROR(MATCH($C88,'합격 기준 수치표'!$B$6:$B$13,0),0))</f>
        <v/>
      </c>
      <c r="R88" s="23" t="str">
        <f aca="false">IF($A88="","",IF(AND(E88&gt;='합격 기준 수치표'!$D$17,F88&gt;='합격 기준 수치표'!$D$18,F88&lt;='합격 기준 수치표'!$D$19,G88&gt;='합격 기준 수치표'!$D$20,G88&lt;='합격 기준 수치표'!$D$21,P88&lt;='합격 기준 수치표'!$D$23,OR(H88&lt;='합격 기준 수치표'!$D$24,O88="",O88&lt;='합격 기준 수치표'!$D$22)),"OK","X"))</f>
        <v/>
      </c>
      <c r="S88" s="23" t="str">
        <f aca="false">IF($A88="","",IF($Q88=0,"?",IF(AND(INDEX('합격 기준 수치표'!$D$6:$D$13,$Q88)="",INDEX('합격 기준 수치표'!$E$6:$E$13,$Q88)=""),"-",IF(H88="","N/A",IF(OR(AND(INDEX('합격 기준 수치표'!$D$6:$D$13,$Q88)&lt;&gt;"",H88&lt;INDEX('합격 기준 수치표'!$D$6:$D$13,$Q88)),AND(INDEX('합격 기준 수치표'!$E$6:$E$13,$Q88)&lt;&gt;"",H88&gt;INDEX('합격 기준 수치표'!$E$6:$E$13,$Q88))),"X","OK")))))</f>
        <v/>
      </c>
      <c r="T88" s="23" t="str">
        <f aca="false">IF($A88="","",IF($Q88=0,"?",IF(AND(INDEX('합격 기준 수치표'!$F$6:$F$13,$Q88)="",INDEX('합격 기준 수치표'!$G$6:$G$13,$Q88)=""),"-",IF(I88="","N/A",IF(OR(AND(INDEX('합격 기준 수치표'!$F$6:$F$13,$Q88)&lt;&gt;"",I88&lt;INDEX('합격 기준 수치표'!$F$6:$F$13,$Q88)),AND(INDEX('합격 기준 수치표'!$G$6:$G$13,$Q88)&lt;&gt;"",I88&gt;INDEX('합격 기준 수치표'!$G$6:$G$13,$Q88))),"X","OK")))))</f>
        <v/>
      </c>
      <c r="U88" s="23" t="str">
        <f aca="false">IF($A88="","",IF($Q88=0,"?",IF(AND(INDEX('합격 기준 수치표'!$H$6:$H$13,$Q88)="",INDEX('합격 기준 수치표'!$I$6:$I$13,$Q88)=""),"-",IF(J88="","N/A",IF(OR(AND(INDEX('합격 기준 수치표'!$H$6:$H$13,$Q88)&lt;&gt;"",J88&lt;INDEX('합격 기준 수치표'!$H$6:$H$13,$Q88)),AND(INDEX('합격 기준 수치표'!$I$6:$I$13,$Q88)&lt;&gt;"",J88&gt;INDEX('합격 기준 수치표'!$I$6:$I$13,$Q88))),"X","OK")))))</f>
        <v/>
      </c>
      <c r="V88" s="23" t="str">
        <f aca="false">IF($A88="","",IF($Q88=0,"?",IF(AND(INDEX('합격 기준 수치표'!$J$6:$J$13,$Q88)="",INDEX('합격 기준 수치표'!$K$6:$K$13,$Q88)=""),"-",IF(K88="","N/A",IF(OR(AND(INDEX('합격 기준 수치표'!$J$6:$J$13,$Q88)&lt;&gt;"",K88&lt;INDEX('합격 기준 수치표'!$J$6:$J$13,$Q88)),AND(INDEX('합격 기준 수치표'!$K$6:$K$13,$Q88)&lt;&gt;"",K88&gt;INDEX('합격 기준 수치표'!$K$6:$K$13,$Q88))),"X","OK")))))</f>
        <v/>
      </c>
      <c r="W88" s="23" t="str">
        <f aca="false">IF($A88="","",IF($Q88=0,"?",IF(AND(INDEX('합격 기준 수치표'!$L$6:$L$13,$Q88)="",INDEX('합격 기준 수치표'!$M$6:$M$13,$Q88)=""),"-",IF(L88="","N/A",IF(OR(AND(INDEX('합격 기준 수치표'!$L$6:$L$13,$Q88)&lt;&gt;"",L88&lt;INDEX('합격 기준 수치표'!$L$6:$L$13,$Q88)),AND(INDEX('합격 기준 수치표'!$M$6:$M$13,$Q88)&lt;&gt;"",L88&gt;INDEX('합격 기준 수치표'!$M$6:$M$13,$Q88))),"X","OK")))))</f>
        <v/>
      </c>
      <c r="X88" s="23" t="str">
        <f aca="false">IF($A88="","",IF($Q88=0,"?",IF(AND(INDEX('합격 기준 수치표'!$N$6:$N$13,$Q88)="",INDEX('합격 기준 수치표'!$O$6:$O$13,$Q88)=""),"-",IF(M88="","N/A",IF(OR(AND(INDEX('합격 기준 수치표'!$N$6:$N$13,$Q88)&lt;&gt;"",M88&lt;INDEX('합격 기준 수치표'!$N$6:$N$13,$Q88)),AND(INDEX('합격 기준 수치표'!$O$6:$O$13,$Q88)&lt;&gt;"",M88&gt;INDEX('합격 기준 수치표'!$O$6:$O$13,$Q88))),"X","OK")))))</f>
        <v/>
      </c>
      <c r="Y88" s="23" t="str">
        <f aca="false">IF($A88="","",IF($Q88=0,"?",IF(AND(INDEX('합격 기준 수치표'!$P$6:$P$13,$Q88)="",INDEX('합격 기준 수치표'!$Q$6:$Q$13,$Q88)=""),"-",IF(N88="","N/A",IF(OR(AND(INDEX('합격 기준 수치표'!$P$6:$P$13,$Q88)&lt;&gt;"",N88&lt;INDEX('합격 기준 수치표'!$P$6:$P$13,$Q88)),AND(INDEX('합격 기준 수치표'!$Q$6:$Q$13,$Q88)&lt;&gt;"",N88&gt;INDEX('합격 기준 수치표'!$Q$6:$Q$13,$Q88))),"X","OK")))))</f>
        <v/>
      </c>
      <c r="Z88" s="48" t="str">
        <f aca="false">IF($A88="","",COUNTIF($S88:$Y88,"X")+IF($R88="X",1,0))</f>
        <v/>
      </c>
      <c r="AA88" s="21" t="str">
        <f aca="false">IF($A88="","",IF($Q88=0,"자세명 확인",IF($Z88=0,"PASS","FAIL")))</f>
        <v/>
      </c>
    </row>
    <row r="89" customFormat="false" ht="15" hidden="false" customHeight="false" outlineLevel="0" collapsed="false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23" t="str">
        <f aca="false">IF($A89="","",IFERROR(MATCH($C89,'합격 기준 수치표'!$B$6:$B$13,0),0))</f>
        <v/>
      </c>
      <c r="R89" s="23" t="str">
        <f aca="false">IF($A89="","",IF(AND(E89&gt;='합격 기준 수치표'!$D$17,F89&gt;='합격 기준 수치표'!$D$18,F89&lt;='합격 기준 수치표'!$D$19,G89&gt;='합격 기준 수치표'!$D$20,G89&lt;='합격 기준 수치표'!$D$21,P89&lt;='합격 기준 수치표'!$D$23,OR(H89&lt;='합격 기준 수치표'!$D$24,O89="",O89&lt;='합격 기준 수치표'!$D$22)),"OK","X"))</f>
        <v/>
      </c>
      <c r="S89" s="23" t="str">
        <f aca="false">IF($A89="","",IF($Q89=0,"?",IF(AND(INDEX('합격 기준 수치표'!$D$6:$D$13,$Q89)="",INDEX('합격 기준 수치표'!$E$6:$E$13,$Q89)=""),"-",IF(H89="","N/A",IF(OR(AND(INDEX('합격 기준 수치표'!$D$6:$D$13,$Q89)&lt;&gt;"",H89&lt;INDEX('합격 기준 수치표'!$D$6:$D$13,$Q89)),AND(INDEX('합격 기준 수치표'!$E$6:$E$13,$Q89)&lt;&gt;"",H89&gt;INDEX('합격 기준 수치표'!$E$6:$E$13,$Q89))),"X","OK")))))</f>
        <v/>
      </c>
      <c r="T89" s="23" t="str">
        <f aca="false">IF($A89="","",IF($Q89=0,"?",IF(AND(INDEX('합격 기준 수치표'!$F$6:$F$13,$Q89)="",INDEX('합격 기준 수치표'!$G$6:$G$13,$Q89)=""),"-",IF(I89="","N/A",IF(OR(AND(INDEX('합격 기준 수치표'!$F$6:$F$13,$Q89)&lt;&gt;"",I89&lt;INDEX('합격 기준 수치표'!$F$6:$F$13,$Q89)),AND(INDEX('합격 기준 수치표'!$G$6:$G$13,$Q89)&lt;&gt;"",I89&gt;INDEX('합격 기준 수치표'!$G$6:$G$13,$Q89))),"X","OK")))))</f>
        <v/>
      </c>
      <c r="U89" s="23" t="str">
        <f aca="false">IF($A89="","",IF($Q89=0,"?",IF(AND(INDEX('합격 기준 수치표'!$H$6:$H$13,$Q89)="",INDEX('합격 기준 수치표'!$I$6:$I$13,$Q89)=""),"-",IF(J89="","N/A",IF(OR(AND(INDEX('합격 기준 수치표'!$H$6:$H$13,$Q89)&lt;&gt;"",J89&lt;INDEX('합격 기준 수치표'!$H$6:$H$13,$Q89)),AND(INDEX('합격 기준 수치표'!$I$6:$I$13,$Q89)&lt;&gt;"",J89&gt;INDEX('합격 기준 수치표'!$I$6:$I$13,$Q89))),"X","OK")))))</f>
        <v/>
      </c>
      <c r="V89" s="23" t="str">
        <f aca="false">IF($A89="","",IF($Q89=0,"?",IF(AND(INDEX('합격 기준 수치표'!$J$6:$J$13,$Q89)="",INDEX('합격 기준 수치표'!$K$6:$K$13,$Q89)=""),"-",IF(K89="","N/A",IF(OR(AND(INDEX('합격 기준 수치표'!$J$6:$J$13,$Q89)&lt;&gt;"",K89&lt;INDEX('합격 기준 수치표'!$J$6:$J$13,$Q89)),AND(INDEX('합격 기준 수치표'!$K$6:$K$13,$Q89)&lt;&gt;"",K89&gt;INDEX('합격 기준 수치표'!$K$6:$K$13,$Q89))),"X","OK")))))</f>
        <v/>
      </c>
      <c r="W89" s="23" t="str">
        <f aca="false">IF($A89="","",IF($Q89=0,"?",IF(AND(INDEX('합격 기준 수치표'!$L$6:$L$13,$Q89)="",INDEX('합격 기준 수치표'!$M$6:$M$13,$Q89)=""),"-",IF(L89="","N/A",IF(OR(AND(INDEX('합격 기준 수치표'!$L$6:$L$13,$Q89)&lt;&gt;"",L89&lt;INDEX('합격 기준 수치표'!$L$6:$L$13,$Q89)),AND(INDEX('합격 기준 수치표'!$M$6:$M$13,$Q89)&lt;&gt;"",L89&gt;INDEX('합격 기준 수치표'!$M$6:$M$13,$Q89))),"X","OK")))))</f>
        <v/>
      </c>
      <c r="X89" s="23" t="str">
        <f aca="false">IF($A89="","",IF($Q89=0,"?",IF(AND(INDEX('합격 기준 수치표'!$N$6:$N$13,$Q89)="",INDEX('합격 기준 수치표'!$O$6:$O$13,$Q89)=""),"-",IF(M89="","N/A",IF(OR(AND(INDEX('합격 기준 수치표'!$N$6:$N$13,$Q89)&lt;&gt;"",M89&lt;INDEX('합격 기준 수치표'!$N$6:$N$13,$Q89)),AND(INDEX('합격 기준 수치표'!$O$6:$O$13,$Q89)&lt;&gt;"",M89&gt;INDEX('합격 기준 수치표'!$O$6:$O$13,$Q89))),"X","OK")))))</f>
        <v/>
      </c>
      <c r="Y89" s="23" t="str">
        <f aca="false">IF($A89="","",IF($Q89=0,"?",IF(AND(INDEX('합격 기준 수치표'!$P$6:$P$13,$Q89)="",INDEX('합격 기준 수치표'!$Q$6:$Q$13,$Q89)=""),"-",IF(N89="","N/A",IF(OR(AND(INDEX('합격 기준 수치표'!$P$6:$P$13,$Q89)&lt;&gt;"",N89&lt;INDEX('합격 기준 수치표'!$P$6:$P$13,$Q89)),AND(INDEX('합격 기준 수치표'!$Q$6:$Q$13,$Q89)&lt;&gt;"",N89&gt;INDEX('합격 기준 수치표'!$Q$6:$Q$13,$Q89))),"X","OK")))))</f>
        <v/>
      </c>
      <c r="Z89" s="48" t="str">
        <f aca="false">IF($A89="","",COUNTIF($S89:$Y89,"X")+IF($R89="X",1,0))</f>
        <v/>
      </c>
      <c r="AA89" s="21" t="str">
        <f aca="false">IF($A89="","",IF($Q89=0,"자세명 확인",IF($Z89=0,"PASS","FAIL")))</f>
        <v/>
      </c>
    </row>
    <row r="90" customFormat="false" ht="15" hidden="false" customHeight="false" outlineLevel="0" collapsed="false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23" t="str">
        <f aca="false">IF($A90="","",IFERROR(MATCH($C90,'합격 기준 수치표'!$B$6:$B$13,0),0))</f>
        <v/>
      </c>
      <c r="R90" s="23" t="str">
        <f aca="false">IF($A90="","",IF(AND(E90&gt;='합격 기준 수치표'!$D$17,F90&gt;='합격 기준 수치표'!$D$18,F90&lt;='합격 기준 수치표'!$D$19,G90&gt;='합격 기준 수치표'!$D$20,G90&lt;='합격 기준 수치표'!$D$21,P90&lt;='합격 기준 수치표'!$D$23,OR(H90&lt;='합격 기준 수치표'!$D$24,O90="",O90&lt;='합격 기준 수치표'!$D$22)),"OK","X"))</f>
        <v/>
      </c>
      <c r="S90" s="23" t="str">
        <f aca="false">IF($A90="","",IF($Q90=0,"?",IF(AND(INDEX('합격 기준 수치표'!$D$6:$D$13,$Q90)="",INDEX('합격 기준 수치표'!$E$6:$E$13,$Q90)=""),"-",IF(H90="","N/A",IF(OR(AND(INDEX('합격 기준 수치표'!$D$6:$D$13,$Q90)&lt;&gt;"",H90&lt;INDEX('합격 기준 수치표'!$D$6:$D$13,$Q90)),AND(INDEX('합격 기준 수치표'!$E$6:$E$13,$Q90)&lt;&gt;"",H90&gt;INDEX('합격 기준 수치표'!$E$6:$E$13,$Q90))),"X","OK")))))</f>
        <v/>
      </c>
      <c r="T90" s="23" t="str">
        <f aca="false">IF($A90="","",IF($Q90=0,"?",IF(AND(INDEX('합격 기준 수치표'!$F$6:$F$13,$Q90)="",INDEX('합격 기준 수치표'!$G$6:$G$13,$Q90)=""),"-",IF(I90="","N/A",IF(OR(AND(INDEX('합격 기준 수치표'!$F$6:$F$13,$Q90)&lt;&gt;"",I90&lt;INDEX('합격 기준 수치표'!$F$6:$F$13,$Q90)),AND(INDEX('합격 기준 수치표'!$G$6:$G$13,$Q90)&lt;&gt;"",I90&gt;INDEX('합격 기준 수치표'!$G$6:$G$13,$Q90))),"X","OK")))))</f>
        <v/>
      </c>
      <c r="U90" s="23" t="str">
        <f aca="false">IF($A90="","",IF($Q90=0,"?",IF(AND(INDEX('합격 기준 수치표'!$H$6:$H$13,$Q90)="",INDEX('합격 기준 수치표'!$I$6:$I$13,$Q90)=""),"-",IF(J90="","N/A",IF(OR(AND(INDEX('합격 기준 수치표'!$H$6:$H$13,$Q90)&lt;&gt;"",J90&lt;INDEX('합격 기준 수치표'!$H$6:$H$13,$Q90)),AND(INDEX('합격 기준 수치표'!$I$6:$I$13,$Q90)&lt;&gt;"",J90&gt;INDEX('합격 기준 수치표'!$I$6:$I$13,$Q90))),"X","OK")))))</f>
        <v/>
      </c>
      <c r="V90" s="23" t="str">
        <f aca="false">IF($A90="","",IF($Q90=0,"?",IF(AND(INDEX('합격 기준 수치표'!$J$6:$J$13,$Q90)="",INDEX('합격 기준 수치표'!$K$6:$K$13,$Q90)=""),"-",IF(K90="","N/A",IF(OR(AND(INDEX('합격 기준 수치표'!$J$6:$J$13,$Q90)&lt;&gt;"",K90&lt;INDEX('합격 기준 수치표'!$J$6:$J$13,$Q90)),AND(INDEX('합격 기준 수치표'!$K$6:$K$13,$Q90)&lt;&gt;"",K90&gt;INDEX('합격 기준 수치표'!$K$6:$K$13,$Q90))),"X","OK")))))</f>
        <v/>
      </c>
      <c r="W90" s="23" t="str">
        <f aca="false">IF($A90="","",IF($Q90=0,"?",IF(AND(INDEX('합격 기준 수치표'!$L$6:$L$13,$Q90)="",INDEX('합격 기준 수치표'!$M$6:$M$13,$Q90)=""),"-",IF(L90="","N/A",IF(OR(AND(INDEX('합격 기준 수치표'!$L$6:$L$13,$Q90)&lt;&gt;"",L90&lt;INDEX('합격 기준 수치표'!$L$6:$L$13,$Q90)),AND(INDEX('합격 기준 수치표'!$M$6:$M$13,$Q90)&lt;&gt;"",L90&gt;INDEX('합격 기준 수치표'!$M$6:$M$13,$Q90))),"X","OK")))))</f>
        <v/>
      </c>
      <c r="X90" s="23" t="str">
        <f aca="false">IF($A90="","",IF($Q90=0,"?",IF(AND(INDEX('합격 기준 수치표'!$N$6:$N$13,$Q90)="",INDEX('합격 기준 수치표'!$O$6:$O$13,$Q90)=""),"-",IF(M90="","N/A",IF(OR(AND(INDEX('합격 기준 수치표'!$N$6:$N$13,$Q90)&lt;&gt;"",M90&lt;INDEX('합격 기준 수치표'!$N$6:$N$13,$Q90)),AND(INDEX('합격 기준 수치표'!$O$6:$O$13,$Q90)&lt;&gt;"",M90&gt;INDEX('합격 기준 수치표'!$O$6:$O$13,$Q90))),"X","OK")))))</f>
        <v/>
      </c>
      <c r="Y90" s="23" t="str">
        <f aca="false">IF($A90="","",IF($Q90=0,"?",IF(AND(INDEX('합격 기준 수치표'!$P$6:$P$13,$Q90)="",INDEX('합격 기준 수치표'!$Q$6:$Q$13,$Q90)=""),"-",IF(N90="","N/A",IF(OR(AND(INDEX('합격 기준 수치표'!$P$6:$P$13,$Q90)&lt;&gt;"",N90&lt;INDEX('합격 기준 수치표'!$P$6:$P$13,$Q90)),AND(INDEX('합격 기준 수치표'!$Q$6:$Q$13,$Q90)&lt;&gt;"",N90&gt;INDEX('합격 기준 수치표'!$Q$6:$Q$13,$Q90))),"X","OK")))))</f>
        <v/>
      </c>
      <c r="Z90" s="48" t="str">
        <f aca="false">IF($A90="","",COUNTIF($S90:$Y90,"X")+IF($R90="X",1,0))</f>
        <v/>
      </c>
      <c r="AA90" s="21" t="str">
        <f aca="false">IF($A90="","",IF($Q90=0,"자세명 확인",IF($Z90=0,"PASS","FAIL")))</f>
        <v/>
      </c>
    </row>
    <row r="91" customFormat="false" ht="15" hidden="false" customHeight="false" outlineLevel="0" collapsed="false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23" t="str">
        <f aca="false">IF($A91="","",IFERROR(MATCH($C91,'합격 기준 수치표'!$B$6:$B$13,0),0))</f>
        <v/>
      </c>
      <c r="R91" s="23" t="str">
        <f aca="false">IF($A91="","",IF(AND(E91&gt;='합격 기준 수치표'!$D$17,F91&gt;='합격 기준 수치표'!$D$18,F91&lt;='합격 기준 수치표'!$D$19,G91&gt;='합격 기준 수치표'!$D$20,G91&lt;='합격 기준 수치표'!$D$21,P91&lt;='합격 기준 수치표'!$D$23,OR(H91&lt;='합격 기준 수치표'!$D$24,O91="",O91&lt;='합격 기준 수치표'!$D$22)),"OK","X"))</f>
        <v/>
      </c>
      <c r="S91" s="23" t="str">
        <f aca="false">IF($A91="","",IF($Q91=0,"?",IF(AND(INDEX('합격 기준 수치표'!$D$6:$D$13,$Q91)="",INDEX('합격 기준 수치표'!$E$6:$E$13,$Q91)=""),"-",IF(H91="","N/A",IF(OR(AND(INDEX('합격 기준 수치표'!$D$6:$D$13,$Q91)&lt;&gt;"",H91&lt;INDEX('합격 기준 수치표'!$D$6:$D$13,$Q91)),AND(INDEX('합격 기준 수치표'!$E$6:$E$13,$Q91)&lt;&gt;"",H91&gt;INDEX('합격 기준 수치표'!$E$6:$E$13,$Q91))),"X","OK")))))</f>
        <v/>
      </c>
      <c r="T91" s="23" t="str">
        <f aca="false">IF($A91="","",IF($Q91=0,"?",IF(AND(INDEX('합격 기준 수치표'!$F$6:$F$13,$Q91)="",INDEX('합격 기준 수치표'!$G$6:$G$13,$Q91)=""),"-",IF(I91="","N/A",IF(OR(AND(INDEX('합격 기준 수치표'!$F$6:$F$13,$Q91)&lt;&gt;"",I91&lt;INDEX('합격 기준 수치표'!$F$6:$F$13,$Q91)),AND(INDEX('합격 기준 수치표'!$G$6:$G$13,$Q91)&lt;&gt;"",I91&gt;INDEX('합격 기준 수치표'!$G$6:$G$13,$Q91))),"X","OK")))))</f>
        <v/>
      </c>
      <c r="U91" s="23" t="str">
        <f aca="false">IF($A91="","",IF($Q91=0,"?",IF(AND(INDEX('합격 기준 수치표'!$H$6:$H$13,$Q91)="",INDEX('합격 기준 수치표'!$I$6:$I$13,$Q91)=""),"-",IF(J91="","N/A",IF(OR(AND(INDEX('합격 기준 수치표'!$H$6:$H$13,$Q91)&lt;&gt;"",J91&lt;INDEX('합격 기준 수치표'!$H$6:$H$13,$Q91)),AND(INDEX('합격 기준 수치표'!$I$6:$I$13,$Q91)&lt;&gt;"",J91&gt;INDEX('합격 기준 수치표'!$I$6:$I$13,$Q91))),"X","OK")))))</f>
        <v/>
      </c>
      <c r="V91" s="23" t="str">
        <f aca="false">IF($A91="","",IF($Q91=0,"?",IF(AND(INDEX('합격 기준 수치표'!$J$6:$J$13,$Q91)="",INDEX('합격 기준 수치표'!$K$6:$K$13,$Q91)=""),"-",IF(K91="","N/A",IF(OR(AND(INDEX('합격 기준 수치표'!$J$6:$J$13,$Q91)&lt;&gt;"",K91&lt;INDEX('합격 기준 수치표'!$J$6:$J$13,$Q91)),AND(INDEX('합격 기준 수치표'!$K$6:$K$13,$Q91)&lt;&gt;"",K91&gt;INDEX('합격 기준 수치표'!$K$6:$K$13,$Q91))),"X","OK")))))</f>
        <v/>
      </c>
      <c r="W91" s="23" t="str">
        <f aca="false">IF($A91="","",IF($Q91=0,"?",IF(AND(INDEX('합격 기준 수치표'!$L$6:$L$13,$Q91)="",INDEX('합격 기준 수치표'!$M$6:$M$13,$Q91)=""),"-",IF(L91="","N/A",IF(OR(AND(INDEX('합격 기준 수치표'!$L$6:$L$13,$Q91)&lt;&gt;"",L91&lt;INDEX('합격 기준 수치표'!$L$6:$L$13,$Q91)),AND(INDEX('합격 기준 수치표'!$M$6:$M$13,$Q91)&lt;&gt;"",L91&gt;INDEX('합격 기준 수치표'!$M$6:$M$13,$Q91))),"X","OK")))))</f>
        <v/>
      </c>
      <c r="X91" s="23" t="str">
        <f aca="false">IF($A91="","",IF($Q91=0,"?",IF(AND(INDEX('합격 기준 수치표'!$N$6:$N$13,$Q91)="",INDEX('합격 기준 수치표'!$O$6:$O$13,$Q91)=""),"-",IF(M91="","N/A",IF(OR(AND(INDEX('합격 기준 수치표'!$N$6:$N$13,$Q91)&lt;&gt;"",M91&lt;INDEX('합격 기준 수치표'!$N$6:$N$13,$Q91)),AND(INDEX('합격 기준 수치표'!$O$6:$O$13,$Q91)&lt;&gt;"",M91&gt;INDEX('합격 기준 수치표'!$O$6:$O$13,$Q91))),"X","OK")))))</f>
        <v/>
      </c>
      <c r="Y91" s="23" t="str">
        <f aca="false">IF($A91="","",IF($Q91=0,"?",IF(AND(INDEX('합격 기준 수치표'!$P$6:$P$13,$Q91)="",INDEX('합격 기준 수치표'!$Q$6:$Q$13,$Q91)=""),"-",IF(N91="","N/A",IF(OR(AND(INDEX('합격 기준 수치표'!$P$6:$P$13,$Q91)&lt;&gt;"",N91&lt;INDEX('합격 기준 수치표'!$P$6:$P$13,$Q91)),AND(INDEX('합격 기준 수치표'!$Q$6:$Q$13,$Q91)&lt;&gt;"",N91&gt;INDEX('합격 기준 수치표'!$Q$6:$Q$13,$Q91))),"X","OK")))))</f>
        <v/>
      </c>
      <c r="Z91" s="48" t="str">
        <f aca="false">IF($A91="","",COUNTIF($S91:$Y91,"X")+IF($R91="X",1,0))</f>
        <v/>
      </c>
      <c r="AA91" s="21" t="str">
        <f aca="false">IF($A91="","",IF($Q91=0,"자세명 확인",IF($Z91=0,"PASS","FAIL")))</f>
        <v/>
      </c>
    </row>
    <row r="92" customFormat="false" ht="15" hidden="false" customHeight="false" outlineLevel="0" collapsed="false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23" t="str">
        <f aca="false">IF($A92="","",IFERROR(MATCH($C92,'합격 기준 수치표'!$B$6:$B$13,0),0))</f>
        <v/>
      </c>
      <c r="R92" s="23" t="str">
        <f aca="false">IF($A92="","",IF(AND(E92&gt;='합격 기준 수치표'!$D$17,F92&gt;='합격 기준 수치표'!$D$18,F92&lt;='합격 기준 수치표'!$D$19,G92&gt;='합격 기준 수치표'!$D$20,G92&lt;='합격 기준 수치표'!$D$21,P92&lt;='합격 기준 수치표'!$D$23,OR(H92&lt;='합격 기준 수치표'!$D$24,O92="",O92&lt;='합격 기준 수치표'!$D$22)),"OK","X"))</f>
        <v/>
      </c>
      <c r="S92" s="23" t="str">
        <f aca="false">IF($A92="","",IF($Q92=0,"?",IF(AND(INDEX('합격 기준 수치표'!$D$6:$D$13,$Q92)="",INDEX('합격 기준 수치표'!$E$6:$E$13,$Q92)=""),"-",IF(H92="","N/A",IF(OR(AND(INDEX('합격 기준 수치표'!$D$6:$D$13,$Q92)&lt;&gt;"",H92&lt;INDEX('합격 기준 수치표'!$D$6:$D$13,$Q92)),AND(INDEX('합격 기준 수치표'!$E$6:$E$13,$Q92)&lt;&gt;"",H92&gt;INDEX('합격 기준 수치표'!$E$6:$E$13,$Q92))),"X","OK")))))</f>
        <v/>
      </c>
      <c r="T92" s="23" t="str">
        <f aca="false">IF($A92="","",IF($Q92=0,"?",IF(AND(INDEX('합격 기준 수치표'!$F$6:$F$13,$Q92)="",INDEX('합격 기준 수치표'!$G$6:$G$13,$Q92)=""),"-",IF(I92="","N/A",IF(OR(AND(INDEX('합격 기준 수치표'!$F$6:$F$13,$Q92)&lt;&gt;"",I92&lt;INDEX('합격 기준 수치표'!$F$6:$F$13,$Q92)),AND(INDEX('합격 기준 수치표'!$G$6:$G$13,$Q92)&lt;&gt;"",I92&gt;INDEX('합격 기준 수치표'!$G$6:$G$13,$Q92))),"X","OK")))))</f>
        <v/>
      </c>
      <c r="U92" s="23" t="str">
        <f aca="false">IF($A92="","",IF($Q92=0,"?",IF(AND(INDEX('합격 기준 수치표'!$H$6:$H$13,$Q92)="",INDEX('합격 기준 수치표'!$I$6:$I$13,$Q92)=""),"-",IF(J92="","N/A",IF(OR(AND(INDEX('합격 기준 수치표'!$H$6:$H$13,$Q92)&lt;&gt;"",J92&lt;INDEX('합격 기준 수치표'!$H$6:$H$13,$Q92)),AND(INDEX('합격 기준 수치표'!$I$6:$I$13,$Q92)&lt;&gt;"",J92&gt;INDEX('합격 기준 수치표'!$I$6:$I$13,$Q92))),"X","OK")))))</f>
        <v/>
      </c>
      <c r="V92" s="23" t="str">
        <f aca="false">IF($A92="","",IF($Q92=0,"?",IF(AND(INDEX('합격 기준 수치표'!$J$6:$J$13,$Q92)="",INDEX('합격 기준 수치표'!$K$6:$K$13,$Q92)=""),"-",IF(K92="","N/A",IF(OR(AND(INDEX('합격 기준 수치표'!$J$6:$J$13,$Q92)&lt;&gt;"",K92&lt;INDEX('합격 기준 수치표'!$J$6:$J$13,$Q92)),AND(INDEX('합격 기준 수치표'!$K$6:$K$13,$Q92)&lt;&gt;"",K92&gt;INDEX('합격 기준 수치표'!$K$6:$K$13,$Q92))),"X","OK")))))</f>
        <v/>
      </c>
      <c r="W92" s="23" t="str">
        <f aca="false">IF($A92="","",IF($Q92=0,"?",IF(AND(INDEX('합격 기준 수치표'!$L$6:$L$13,$Q92)="",INDEX('합격 기준 수치표'!$M$6:$M$13,$Q92)=""),"-",IF(L92="","N/A",IF(OR(AND(INDEX('합격 기준 수치표'!$L$6:$L$13,$Q92)&lt;&gt;"",L92&lt;INDEX('합격 기준 수치표'!$L$6:$L$13,$Q92)),AND(INDEX('합격 기준 수치표'!$M$6:$M$13,$Q92)&lt;&gt;"",L92&gt;INDEX('합격 기준 수치표'!$M$6:$M$13,$Q92))),"X","OK")))))</f>
        <v/>
      </c>
      <c r="X92" s="23" t="str">
        <f aca="false">IF($A92="","",IF($Q92=0,"?",IF(AND(INDEX('합격 기준 수치표'!$N$6:$N$13,$Q92)="",INDEX('합격 기준 수치표'!$O$6:$O$13,$Q92)=""),"-",IF(M92="","N/A",IF(OR(AND(INDEX('합격 기준 수치표'!$N$6:$N$13,$Q92)&lt;&gt;"",M92&lt;INDEX('합격 기준 수치표'!$N$6:$N$13,$Q92)),AND(INDEX('합격 기준 수치표'!$O$6:$O$13,$Q92)&lt;&gt;"",M92&gt;INDEX('합격 기준 수치표'!$O$6:$O$13,$Q92))),"X","OK")))))</f>
        <v/>
      </c>
      <c r="Y92" s="23" t="str">
        <f aca="false">IF($A92="","",IF($Q92=0,"?",IF(AND(INDEX('합격 기준 수치표'!$P$6:$P$13,$Q92)="",INDEX('합격 기준 수치표'!$Q$6:$Q$13,$Q92)=""),"-",IF(N92="","N/A",IF(OR(AND(INDEX('합격 기준 수치표'!$P$6:$P$13,$Q92)&lt;&gt;"",N92&lt;INDEX('합격 기준 수치표'!$P$6:$P$13,$Q92)),AND(INDEX('합격 기준 수치표'!$Q$6:$Q$13,$Q92)&lt;&gt;"",N92&gt;INDEX('합격 기준 수치표'!$Q$6:$Q$13,$Q92))),"X","OK")))))</f>
        <v/>
      </c>
      <c r="Z92" s="48" t="str">
        <f aca="false">IF($A92="","",COUNTIF($S92:$Y92,"X")+IF($R92="X",1,0))</f>
        <v/>
      </c>
      <c r="AA92" s="21" t="str">
        <f aca="false">IF($A92="","",IF($Q92=0,"자세명 확인",IF($Z92=0,"PASS","FAIL")))</f>
        <v/>
      </c>
    </row>
    <row r="93" customFormat="false" ht="15" hidden="false" customHeight="false" outlineLevel="0" collapsed="false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23" t="str">
        <f aca="false">IF($A93="","",IFERROR(MATCH($C93,'합격 기준 수치표'!$B$6:$B$13,0),0))</f>
        <v/>
      </c>
      <c r="R93" s="23" t="str">
        <f aca="false">IF($A93="","",IF(AND(E93&gt;='합격 기준 수치표'!$D$17,F93&gt;='합격 기준 수치표'!$D$18,F93&lt;='합격 기준 수치표'!$D$19,G93&gt;='합격 기준 수치표'!$D$20,G93&lt;='합격 기준 수치표'!$D$21,P93&lt;='합격 기준 수치표'!$D$23,OR(H93&lt;='합격 기준 수치표'!$D$24,O93="",O93&lt;='합격 기준 수치표'!$D$22)),"OK","X"))</f>
        <v/>
      </c>
      <c r="S93" s="23" t="str">
        <f aca="false">IF($A93="","",IF($Q93=0,"?",IF(AND(INDEX('합격 기준 수치표'!$D$6:$D$13,$Q93)="",INDEX('합격 기준 수치표'!$E$6:$E$13,$Q93)=""),"-",IF(H93="","N/A",IF(OR(AND(INDEX('합격 기준 수치표'!$D$6:$D$13,$Q93)&lt;&gt;"",H93&lt;INDEX('합격 기준 수치표'!$D$6:$D$13,$Q93)),AND(INDEX('합격 기준 수치표'!$E$6:$E$13,$Q93)&lt;&gt;"",H93&gt;INDEX('합격 기준 수치표'!$E$6:$E$13,$Q93))),"X","OK")))))</f>
        <v/>
      </c>
      <c r="T93" s="23" t="str">
        <f aca="false">IF($A93="","",IF($Q93=0,"?",IF(AND(INDEX('합격 기준 수치표'!$F$6:$F$13,$Q93)="",INDEX('합격 기준 수치표'!$G$6:$G$13,$Q93)=""),"-",IF(I93="","N/A",IF(OR(AND(INDEX('합격 기준 수치표'!$F$6:$F$13,$Q93)&lt;&gt;"",I93&lt;INDEX('합격 기준 수치표'!$F$6:$F$13,$Q93)),AND(INDEX('합격 기준 수치표'!$G$6:$G$13,$Q93)&lt;&gt;"",I93&gt;INDEX('합격 기준 수치표'!$G$6:$G$13,$Q93))),"X","OK")))))</f>
        <v/>
      </c>
      <c r="U93" s="23" t="str">
        <f aca="false">IF($A93="","",IF($Q93=0,"?",IF(AND(INDEX('합격 기준 수치표'!$H$6:$H$13,$Q93)="",INDEX('합격 기준 수치표'!$I$6:$I$13,$Q93)=""),"-",IF(J93="","N/A",IF(OR(AND(INDEX('합격 기준 수치표'!$H$6:$H$13,$Q93)&lt;&gt;"",J93&lt;INDEX('합격 기준 수치표'!$H$6:$H$13,$Q93)),AND(INDEX('합격 기준 수치표'!$I$6:$I$13,$Q93)&lt;&gt;"",J93&gt;INDEX('합격 기준 수치표'!$I$6:$I$13,$Q93))),"X","OK")))))</f>
        <v/>
      </c>
      <c r="V93" s="23" t="str">
        <f aca="false">IF($A93="","",IF($Q93=0,"?",IF(AND(INDEX('합격 기준 수치표'!$J$6:$J$13,$Q93)="",INDEX('합격 기준 수치표'!$K$6:$K$13,$Q93)=""),"-",IF(K93="","N/A",IF(OR(AND(INDEX('합격 기준 수치표'!$J$6:$J$13,$Q93)&lt;&gt;"",K93&lt;INDEX('합격 기준 수치표'!$J$6:$J$13,$Q93)),AND(INDEX('합격 기준 수치표'!$K$6:$K$13,$Q93)&lt;&gt;"",K93&gt;INDEX('합격 기준 수치표'!$K$6:$K$13,$Q93))),"X","OK")))))</f>
        <v/>
      </c>
      <c r="W93" s="23" t="str">
        <f aca="false">IF($A93="","",IF($Q93=0,"?",IF(AND(INDEX('합격 기준 수치표'!$L$6:$L$13,$Q93)="",INDEX('합격 기준 수치표'!$M$6:$M$13,$Q93)=""),"-",IF(L93="","N/A",IF(OR(AND(INDEX('합격 기준 수치표'!$L$6:$L$13,$Q93)&lt;&gt;"",L93&lt;INDEX('합격 기준 수치표'!$L$6:$L$13,$Q93)),AND(INDEX('합격 기준 수치표'!$M$6:$M$13,$Q93)&lt;&gt;"",L93&gt;INDEX('합격 기준 수치표'!$M$6:$M$13,$Q93))),"X","OK")))))</f>
        <v/>
      </c>
      <c r="X93" s="23" t="str">
        <f aca="false">IF($A93="","",IF($Q93=0,"?",IF(AND(INDEX('합격 기준 수치표'!$N$6:$N$13,$Q93)="",INDEX('합격 기준 수치표'!$O$6:$O$13,$Q93)=""),"-",IF(M93="","N/A",IF(OR(AND(INDEX('합격 기준 수치표'!$N$6:$N$13,$Q93)&lt;&gt;"",M93&lt;INDEX('합격 기준 수치표'!$N$6:$N$13,$Q93)),AND(INDEX('합격 기준 수치표'!$O$6:$O$13,$Q93)&lt;&gt;"",M93&gt;INDEX('합격 기준 수치표'!$O$6:$O$13,$Q93))),"X","OK")))))</f>
        <v/>
      </c>
      <c r="Y93" s="23" t="str">
        <f aca="false">IF($A93="","",IF($Q93=0,"?",IF(AND(INDEX('합격 기준 수치표'!$P$6:$P$13,$Q93)="",INDEX('합격 기준 수치표'!$Q$6:$Q$13,$Q93)=""),"-",IF(N93="","N/A",IF(OR(AND(INDEX('합격 기준 수치표'!$P$6:$P$13,$Q93)&lt;&gt;"",N93&lt;INDEX('합격 기준 수치표'!$P$6:$P$13,$Q93)),AND(INDEX('합격 기준 수치표'!$Q$6:$Q$13,$Q93)&lt;&gt;"",N93&gt;INDEX('합격 기준 수치표'!$Q$6:$Q$13,$Q93))),"X","OK")))))</f>
        <v/>
      </c>
      <c r="Z93" s="48" t="str">
        <f aca="false">IF($A93="","",COUNTIF($S93:$Y93,"X")+IF($R93="X",1,0))</f>
        <v/>
      </c>
      <c r="AA93" s="21" t="str">
        <f aca="false">IF($A93="","",IF($Q93=0,"자세명 확인",IF($Z93=0,"PASS","FAIL")))</f>
        <v/>
      </c>
    </row>
    <row r="94" customFormat="false" ht="15" hidden="false" customHeight="false" outlineLevel="0" collapsed="false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23" t="str">
        <f aca="false">IF($A94="","",IFERROR(MATCH($C94,'합격 기준 수치표'!$B$6:$B$13,0),0))</f>
        <v/>
      </c>
      <c r="R94" s="23" t="str">
        <f aca="false">IF($A94="","",IF(AND(E94&gt;='합격 기준 수치표'!$D$17,F94&gt;='합격 기준 수치표'!$D$18,F94&lt;='합격 기준 수치표'!$D$19,G94&gt;='합격 기준 수치표'!$D$20,G94&lt;='합격 기준 수치표'!$D$21,P94&lt;='합격 기준 수치표'!$D$23,OR(H94&lt;='합격 기준 수치표'!$D$24,O94="",O94&lt;='합격 기준 수치표'!$D$22)),"OK","X"))</f>
        <v/>
      </c>
      <c r="S94" s="23" t="str">
        <f aca="false">IF($A94="","",IF($Q94=0,"?",IF(AND(INDEX('합격 기준 수치표'!$D$6:$D$13,$Q94)="",INDEX('합격 기준 수치표'!$E$6:$E$13,$Q94)=""),"-",IF(H94="","N/A",IF(OR(AND(INDEX('합격 기준 수치표'!$D$6:$D$13,$Q94)&lt;&gt;"",H94&lt;INDEX('합격 기준 수치표'!$D$6:$D$13,$Q94)),AND(INDEX('합격 기준 수치표'!$E$6:$E$13,$Q94)&lt;&gt;"",H94&gt;INDEX('합격 기준 수치표'!$E$6:$E$13,$Q94))),"X","OK")))))</f>
        <v/>
      </c>
      <c r="T94" s="23" t="str">
        <f aca="false">IF($A94="","",IF($Q94=0,"?",IF(AND(INDEX('합격 기준 수치표'!$F$6:$F$13,$Q94)="",INDEX('합격 기준 수치표'!$G$6:$G$13,$Q94)=""),"-",IF(I94="","N/A",IF(OR(AND(INDEX('합격 기준 수치표'!$F$6:$F$13,$Q94)&lt;&gt;"",I94&lt;INDEX('합격 기준 수치표'!$F$6:$F$13,$Q94)),AND(INDEX('합격 기준 수치표'!$G$6:$G$13,$Q94)&lt;&gt;"",I94&gt;INDEX('합격 기준 수치표'!$G$6:$G$13,$Q94))),"X","OK")))))</f>
        <v/>
      </c>
      <c r="U94" s="23" t="str">
        <f aca="false">IF($A94="","",IF($Q94=0,"?",IF(AND(INDEX('합격 기준 수치표'!$H$6:$H$13,$Q94)="",INDEX('합격 기준 수치표'!$I$6:$I$13,$Q94)=""),"-",IF(J94="","N/A",IF(OR(AND(INDEX('합격 기준 수치표'!$H$6:$H$13,$Q94)&lt;&gt;"",J94&lt;INDEX('합격 기준 수치표'!$H$6:$H$13,$Q94)),AND(INDEX('합격 기준 수치표'!$I$6:$I$13,$Q94)&lt;&gt;"",J94&gt;INDEX('합격 기준 수치표'!$I$6:$I$13,$Q94))),"X","OK")))))</f>
        <v/>
      </c>
      <c r="V94" s="23" t="str">
        <f aca="false">IF($A94="","",IF($Q94=0,"?",IF(AND(INDEX('합격 기준 수치표'!$J$6:$J$13,$Q94)="",INDEX('합격 기준 수치표'!$K$6:$K$13,$Q94)=""),"-",IF(K94="","N/A",IF(OR(AND(INDEX('합격 기준 수치표'!$J$6:$J$13,$Q94)&lt;&gt;"",K94&lt;INDEX('합격 기준 수치표'!$J$6:$J$13,$Q94)),AND(INDEX('합격 기준 수치표'!$K$6:$K$13,$Q94)&lt;&gt;"",K94&gt;INDEX('합격 기준 수치표'!$K$6:$K$13,$Q94))),"X","OK")))))</f>
        <v/>
      </c>
      <c r="W94" s="23" t="str">
        <f aca="false">IF($A94="","",IF($Q94=0,"?",IF(AND(INDEX('합격 기준 수치표'!$L$6:$L$13,$Q94)="",INDEX('합격 기준 수치표'!$M$6:$M$13,$Q94)=""),"-",IF(L94="","N/A",IF(OR(AND(INDEX('합격 기준 수치표'!$L$6:$L$13,$Q94)&lt;&gt;"",L94&lt;INDEX('합격 기준 수치표'!$L$6:$L$13,$Q94)),AND(INDEX('합격 기준 수치표'!$M$6:$M$13,$Q94)&lt;&gt;"",L94&gt;INDEX('합격 기준 수치표'!$M$6:$M$13,$Q94))),"X","OK")))))</f>
        <v/>
      </c>
      <c r="X94" s="23" t="str">
        <f aca="false">IF($A94="","",IF($Q94=0,"?",IF(AND(INDEX('합격 기준 수치표'!$N$6:$N$13,$Q94)="",INDEX('합격 기준 수치표'!$O$6:$O$13,$Q94)=""),"-",IF(M94="","N/A",IF(OR(AND(INDEX('합격 기준 수치표'!$N$6:$N$13,$Q94)&lt;&gt;"",M94&lt;INDEX('합격 기준 수치표'!$N$6:$N$13,$Q94)),AND(INDEX('합격 기준 수치표'!$O$6:$O$13,$Q94)&lt;&gt;"",M94&gt;INDEX('합격 기준 수치표'!$O$6:$O$13,$Q94))),"X","OK")))))</f>
        <v/>
      </c>
      <c r="Y94" s="23" t="str">
        <f aca="false">IF($A94="","",IF($Q94=0,"?",IF(AND(INDEX('합격 기준 수치표'!$P$6:$P$13,$Q94)="",INDEX('합격 기준 수치표'!$Q$6:$Q$13,$Q94)=""),"-",IF(N94="","N/A",IF(OR(AND(INDEX('합격 기준 수치표'!$P$6:$P$13,$Q94)&lt;&gt;"",N94&lt;INDEX('합격 기준 수치표'!$P$6:$P$13,$Q94)),AND(INDEX('합격 기준 수치표'!$Q$6:$Q$13,$Q94)&lt;&gt;"",N94&gt;INDEX('합격 기준 수치표'!$Q$6:$Q$13,$Q94))),"X","OK")))))</f>
        <v/>
      </c>
      <c r="Z94" s="48" t="str">
        <f aca="false">IF($A94="","",COUNTIF($S94:$Y94,"X")+IF($R94="X",1,0))</f>
        <v/>
      </c>
      <c r="AA94" s="21" t="str">
        <f aca="false">IF($A94="","",IF($Q94=0,"자세명 확인",IF($Z94=0,"PASS","FAIL")))</f>
        <v/>
      </c>
    </row>
    <row r="95" customFormat="false" ht="15" hidden="false" customHeight="false" outlineLevel="0" collapsed="false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23" t="str">
        <f aca="false">IF($A95="","",IFERROR(MATCH($C95,'합격 기준 수치표'!$B$6:$B$13,0),0))</f>
        <v/>
      </c>
      <c r="R95" s="23" t="str">
        <f aca="false">IF($A95="","",IF(AND(E95&gt;='합격 기준 수치표'!$D$17,F95&gt;='합격 기준 수치표'!$D$18,F95&lt;='합격 기준 수치표'!$D$19,G95&gt;='합격 기준 수치표'!$D$20,G95&lt;='합격 기준 수치표'!$D$21,P95&lt;='합격 기준 수치표'!$D$23,OR(H95&lt;='합격 기준 수치표'!$D$24,O95="",O95&lt;='합격 기준 수치표'!$D$22)),"OK","X"))</f>
        <v/>
      </c>
      <c r="S95" s="23" t="str">
        <f aca="false">IF($A95="","",IF($Q95=0,"?",IF(AND(INDEX('합격 기준 수치표'!$D$6:$D$13,$Q95)="",INDEX('합격 기준 수치표'!$E$6:$E$13,$Q95)=""),"-",IF(H95="","N/A",IF(OR(AND(INDEX('합격 기준 수치표'!$D$6:$D$13,$Q95)&lt;&gt;"",H95&lt;INDEX('합격 기준 수치표'!$D$6:$D$13,$Q95)),AND(INDEX('합격 기준 수치표'!$E$6:$E$13,$Q95)&lt;&gt;"",H95&gt;INDEX('합격 기준 수치표'!$E$6:$E$13,$Q95))),"X","OK")))))</f>
        <v/>
      </c>
      <c r="T95" s="23" t="str">
        <f aca="false">IF($A95="","",IF($Q95=0,"?",IF(AND(INDEX('합격 기준 수치표'!$F$6:$F$13,$Q95)="",INDEX('합격 기준 수치표'!$G$6:$G$13,$Q95)=""),"-",IF(I95="","N/A",IF(OR(AND(INDEX('합격 기준 수치표'!$F$6:$F$13,$Q95)&lt;&gt;"",I95&lt;INDEX('합격 기준 수치표'!$F$6:$F$13,$Q95)),AND(INDEX('합격 기준 수치표'!$G$6:$G$13,$Q95)&lt;&gt;"",I95&gt;INDEX('합격 기준 수치표'!$G$6:$G$13,$Q95))),"X","OK")))))</f>
        <v/>
      </c>
      <c r="U95" s="23" t="str">
        <f aca="false">IF($A95="","",IF($Q95=0,"?",IF(AND(INDEX('합격 기준 수치표'!$H$6:$H$13,$Q95)="",INDEX('합격 기준 수치표'!$I$6:$I$13,$Q95)=""),"-",IF(J95="","N/A",IF(OR(AND(INDEX('합격 기준 수치표'!$H$6:$H$13,$Q95)&lt;&gt;"",J95&lt;INDEX('합격 기준 수치표'!$H$6:$H$13,$Q95)),AND(INDEX('합격 기준 수치표'!$I$6:$I$13,$Q95)&lt;&gt;"",J95&gt;INDEX('합격 기준 수치표'!$I$6:$I$13,$Q95))),"X","OK")))))</f>
        <v/>
      </c>
      <c r="V95" s="23" t="str">
        <f aca="false">IF($A95="","",IF($Q95=0,"?",IF(AND(INDEX('합격 기준 수치표'!$J$6:$J$13,$Q95)="",INDEX('합격 기준 수치표'!$K$6:$K$13,$Q95)=""),"-",IF(K95="","N/A",IF(OR(AND(INDEX('합격 기준 수치표'!$J$6:$J$13,$Q95)&lt;&gt;"",K95&lt;INDEX('합격 기준 수치표'!$J$6:$J$13,$Q95)),AND(INDEX('합격 기준 수치표'!$K$6:$K$13,$Q95)&lt;&gt;"",K95&gt;INDEX('합격 기준 수치표'!$K$6:$K$13,$Q95))),"X","OK")))))</f>
        <v/>
      </c>
      <c r="W95" s="23" t="str">
        <f aca="false">IF($A95="","",IF($Q95=0,"?",IF(AND(INDEX('합격 기준 수치표'!$L$6:$L$13,$Q95)="",INDEX('합격 기준 수치표'!$M$6:$M$13,$Q95)=""),"-",IF(L95="","N/A",IF(OR(AND(INDEX('합격 기준 수치표'!$L$6:$L$13,$Q95)&lt;&gt;"",L95&lt;INDEX('합격 기준 수치표'!$L$6:$L$13,$Q95)),AND(INDEX('합격 기준 수치표'!$M$6:$M$13,$Q95)&lt;&gt;"",L95&gt;INDEX('합격 기준 수치표'!$M$6:$M$13,$Q95))),"X","OK")))))</f>
        <v/>
      </c>
      <c r="X95" s="23" t="str">
        <f aca="false">IF($A95="","",IF($Q95=0,"?",IF(AND(INDEX('합격 기준 수치표'!$N$6:$N$13,$Q95)="",INDEX('합격 기준 수치표'!$O$6:$O$13,$Q95)=""),"-",IF(M95="","N/A",IF(OR(AND(INDEX('합격 기준 수치표'!$N$6:$N$13,$Q95)&lt;&gt;"",M95&lt;INDEX('합격 기준 수치표'!$N$6:$N$13,$Q95)),AND(INDEX('합격 기준 수치표'!$O$6:$O$13,$Q95)&lt;&gt;"",M95&gt;INDEX('합격 기준 수치표'!$O$6:$O$13,$Q95))),"X","OK")))))</f>
        <v/>
      </c>
      <c r="Y95" s="23" t="str">
        <f aca="false">IF($A95="","",IF($Q95=0,"?",IF(AND(INDEX('합격 기준 수치표'!$P$6:$P$13,$Q95)="",INDEX('합격 기준 수치표'!$Q$6:$Q$13,$Q95)=""),"-",IF(N95="","N/A",IF(OR(AND(INDEX('합격 기준 수치표'!$P$6:$P$13,$Q95)&lt;&gt;"",N95&lt;INDEX('합격 기준 수치표'!$P$6:$P$13,$Q95)),AND(INDEX('합격 기준 수치표'!$Q$6:$Q$13,$Q95)&lt;&gt;"",N95&gt;INDEX('합격 기준 수치표'!$Q$6:$Q$13,$Q95))),"X","OK")))))</f>
        <v/>
      </c>
      <c r="Z95" s="48" t="str">
        <f aca="false">IF($A95="","",COUNTIF($S95:$Y95,"X")+IF($R95="X",1,0))</f>
        <v/>
      </c>
      <c r="AA95" s="21" t="str">
        <f aca="false">IF($A95="","",IF($Q95=0,"자세명 확인",IF($Z95=0,"PASS","FAIL")))</f>
        <v/>
      </c>
    </row>
    <row r="96" customFormat="false" ht="15" hidden="false" customHeight="false" outlineLevel="0" collapsed="false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23" t="str">
        <f aca="false">IF($A96="","",IFERROR(MATCH($C96,'합격 기준 수치표'!$B$6:$B$13,0),0))</f>
        <v/>
      </c>
      <c r="R96" s="23" t="str">
        <f aca="false">IF($A96="","",IF(AND(E96&gt;='합격 기준 수치표'!$D$17,F96&gt;='합격 기준 수치표'!$D$18,F96&lt;='합격 기준 수치표'!$D$19,G96&gt;='합격 기준 수치표'!$D$20,G96&lt;='합격 기준 수치표'!$D$21,P96&lt;='합격 기준 수치표'!$D$23,OR(H96&lt;='합격 기준 수치표'!$D$24,O96="",O96&lt;='합격 기준 수치표'!$D$22)),"OK","X"))</f>
        <v/>
      </c>
      <c r="S96" s="23" t="str">
        <f aca="false">IF($A96="","",IF($Q96=0,"?",IF(AND(INDEX('합격 기준 수치표'!$D$6:$D$13,$Q96)="",INDEX('합격 기준 수치표'!$E$6:$E$13,$Q96)=""),"-",IF(H96="","N/A",IF(OR(AND(INDEX('합격 기준 수치표'!$D$6:$D$13,$Q96)&lt;&gt;"",H96&lt;INDEX('합격 기준 수치표'!$D$6:$D$13,$Q96)),AND(INDEX('합격 기준 수치표'!$E$6:$E$13,$Q96)&lt;&gt;"",H96&gt;INDEX('합격 기준 수치표'!$E$6:$E$13,$Q96))),"X","OK")))))</f>
        <v/>
      </c>
      <c r="T96" s="23" t="str">
        <f aca="false">IF($A96="","",IF($Q96=0,"?",IF(AND(INDEX('합격 기준 수치표'!$F$6:$F$13,$Q96)="",INDEX('합격 기준 수치표'!$G$6:$G$13,$Q96)=""),"-",IF(I96="","N/A",IF(OR(AND(INDEX('합격 기준 수치표'!$F$6:$F$13,$Q96)&lt;&gt;"",I96&lt;INDEX('합격 기준 수치표'!$F$6:$F$13,$Q96)),AND(INDEX('합격 기준 수치표'!$G$6:$G$13,$Q96)&lt;&gt;"",I96&gt;INDEX('합격 기준 수치표'!$G$6:$G$13,$Q96))),"X","OK")))))</f>
        <v/>
      </c>
      <c r="U96" s="23" t="str">
        <f aca="false">IF($A96="","",IF($Q96=0,"?",IF(AND(INDEX('합격 기준 수치표'!$H$6:$H$13,$Q96)="",INDEX('합격 기준 수치표'!$I$6:$I$13,$Q96)=""),"-",IF(J96="","N/A",IF(OR(AND(INDEX('합격 기준 수치표'!$H$6:$H$13,$Q96)&lt;&gt;"",J96&lt;INDEX('합격 기준 수치표'!$H$6:$H$13,$Q96)),AND(INDEX('합격 기준 수치표'!$I$6:$I$13,$Q96)&lt;&gt;"",J96&gt;INDEX('합격 기준 수치표'!$I$6:$I$13,$Q96))),"X","OK")))))</f>
        <v/>
      </c>
      <c r="V96" s="23" t="str">
        <f aca="false">IF($A96="","",IF($Q96=0,"?",IF(AND(INDEX('합격 기준 수치표'!$J$6:$J$13,$Q96)="",INDEX('합격 기준 수치표'!$K$6:$K$13,$Q96)=""),"-",IF(K96="","N/A",IF(OR(AND(INDEX('합격 기준 수치표'!$J$6:$J$13,$Q96)&lt;&gt;"",K96&lt;INDEX('합격 기준 수치표'!$J$6:$J$13,$Q96)),AND(INDEX('합격 기준 수치표'!$K$6:$K$13,$Q96)&lt;&gt;"",K96&gt;INDEX('합격 기준 수치표'!$K$6:$K$13,$Q96))),"X","OK")))))</f>
        <v/>
      </c>
      <c r="W96" s="23" t="str">
        <f aca="false">IF($A96="","",IF($Q96=0,"?",IF(AND(INDEX('합격 기준 수치표'!$L$6:$L$13,$Q96)="",INDEX('합격 기준 수치표'!$M$6:$M$13,$Q96)=""),"-",IF(L96="","N/A",IF(OR(AND(INDEX('합격 기준 수치표'!$L$6:$L$13,$Q96)&lt;&gt;"",L96&lt;INDEX('합격 기준 수치표'!$L$6:$L$13,$Q96)),AND(INDEX('합격 기준 수치표'!$M$6:$M$13,$Q96)&lt;&gt;"",L96&gt;INDEX('합격 기준 수치표'!$M$6:$M$13,$Q96))),"X","OK")))))</f>
        <v/>
      </c>
      <c r="X96" s="23" t="str">
        <f aca="false">IF($A96="","",IF($Q96=0,"?",IF(AND(INDEX('합격 기준 수치표'!$N$6:$N$13,$Q96)="",INDEX('합격 기준 수치표'!$O$6:$O$13,$Q96)=""),"-",IF(M96="","N/A",IF(OR(AND(INDEX('합격 기준 수치표'!$N$6:$N$13,$Q96)&lt;&gt;"",M96&lt;INDEX('합격 기준 수치표'!$N$6:$N$13,$Q96)),AND(INDEX('합격 기준 수치표'!$O$6:$O$13,$Q96)&lt;&gt;"",M96&gt;INDEX('합격 기준 수치표'!$O$6:$O$13,$Q96))),"X","OK")))))</f>
        <v/>
      </c>
      <c r="Y96" s="23" t="str">
        <f aca="false">IF($A96="","",IF($Q96=0,"?",IF(AND(INDEX('합격 기준 수치표'!$P$6:$P$13,$Q96)="",INDEX('합격 기준 수치표'!$Q$6:$Q$13,$Q96)=""),"-",IF(N96="","N/A",IF(OR(AND(INDEX('합격 기준 수치표'!$P$6:$P$13,$Q96)&lt;&gt;"",N96&lt;INDEX('합격 기준 수치표'!$P$6:$P$13,$Q96)),AND(INDEX('합격 기준 수치표'!$Q$6:$Q$13,$Q96)&lt;&gt;"",N96&gt;INDEX('합격 기준 수치표'!$Q$6:$Q$13,$Q96))),"X","OK")))))</f>
        <v/>
      </c>
      <c r="Z96" s="48" t="str">
        <f aca="false">IF($A96="","",COUNTIF($S96:$Y96,"X")+IF($R96="X",1,0))</f>
        <v/>
      </c>
      <c r="AA96" s="21" t="str">
        <f aca="false">IF($A96="","",IF($Q96=0,"자세명 확인",IF($Z96=0,"PASS","FAIL")))</f>
        <v/>
      </c>
    </row>
    <row r="97" customFormat="false" ht="15" hidden="false" customHeight="false" outlineLevel="0" collapsed="false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23" t="str">
        <f aca="false">IF($A97="","",IFERROR(MATCH($C97,'합격 기준 수치표'!$B$6:$B$13,0),0))</f>
        <v/>
      </c>
      <c r="R97" s="23" t="str">
        <f aca="false">IF($A97="","",IF(AND(E97&gt;='합격 기준 수치표'!$D$17,F97&gt;='합격 기준 수치표'!$D$18,F97&lt;='합격 기준 수치표'!$D$19,G97&gt;='합격 기준 수치표'!$D$20,G97&lt;='합격 기준 수치표'!$D$21,P97&lt;='합격 기준 수치표'!$D$23,OR(H97&lt;='합격 기준 수치표'!$D$24,O97="",O97&lt;='합격 기준 수치표'!$D$22)),"OK","X"))</f>
        <v/>
      </c>
      <c r="S97" s="23" t="str">
        <f aca="false">IF($A97="","",IF($Q97=0,"?",IF(AND(INDEX('합격 기준 수치표'!$D$6:$D$13,$Q97)="",INDEX('합격 기준 수치표'!$E$6:$E$13,$Q97)=""),"-",IF(H97="","N/A",IF(OR(AND(INDEX('합격 기준 수치표'!$D$6:$D$13,$Q97)&lt;&gt;"",H97&lt;INDEX('합격 기준 수치표'!$D$6:$D$13,$Q97)),AND(INDEX('합격 기준 수치표'!$E$6:$E$13,$Q97)&lt;&gt;"",H97&gt;INDEX('합격 기준 수치표'!$E$6:$E$13,$Q97))),"X","OK")))))</f>
        <v/>
      </c>
      <c r="T97" s="23" t="str">
        <f aca="false">IF($A97="","",IF($Q97=0,"?",IF(AND(INDEX('합격 기준 수치표'!$F$6:$F$13,$Q97)="",INDEX('합격 기준 수치표'!$G$6:$G$13,$Q97)=""),"-",IF(I97="","N/A",IF(OR(AND(INDEX('합격 기준 수치표'!$F$6:$F$13,$Q97)&lt;&gt;"",I97&lt;INDEX('합격 기준 수치표'!$F$6:$F$13,$Q97)),AND(INDEX('합격 기준 수치표'!$G$6:$G$13,$Q97)&lt;&gt;"",I97&gt;INDEX('합격 기준 수치표'!$G$6:$G$13,$Q97))),"X","OK")))))</f>
        <v/>
      </c>
      <c r="U97" s="23" t="str">
        <f aca="false">IF($A97="","",IF($Q97=0,"?",IF(AND(INDEX('합격 기준 수치표'!$H$6:$H$13,$Q97)="",INDEX('합격 기준 수치표'!$I$6:$I$13,$Q97)=""),"-",IF(J97="","N/A",IF(OR(AND(INDEX('합격 기준 수치표'!$H$6:$H$13,$Q97)&lt;&gt;"",J97&lt;INDEX('합격 기준 수치표'!$H$6:$H$13,$Q97)),AND(INDEX('합격 기준 수치표'!$I$6:$I$13,$Q97)&lt;&gt;"",J97&gt;INDEX('합격 기준 수치표'!$I$6:$I$13,$Q97))),"X","OK")))))</f>
        <v/>
      </c>
      <c r="V97" s="23" t="str">
        <f aca="false">IF($A97="","",IF($Q97=0,"?",IF(AND(INDEX('합격 기준 수치표'!$J$6:$J$13,$Q97)="",INDEX('합격 기준 수치표'!$K$6:$K$13,$Q97)=""),"-",IF(K97="","N/A",IF(OR(AND(INDEX('합격 기준 수치표'!$J$6:$J$13,$Q97)&lt;&gt;"",K97&lt;INDEX('합격 기준 수치표'!$J$6:$J$13,$Q97)),AND(INDEX('합격 기준 수치표'!$K$6:$K$13,$Q97)&lt;&gt;"",K97&gt;INDEX('합격 기준 수치표'!$K$6:$K$13,$Q97))),"X","OK")))))</f>
        <v/>
      </c>
      <c r="W97" s="23" t="str">
        <f aca="false">IF($A97="","",IF($Q97=0,"?",IF(AND(INDEX('합격 기준 수치표'!$L$6:$L$13,$Q97)="",INDEX('합격 기준 수치표'!$M$6:$M$13,$Q97)=""),"-",IF(L97="","N/A",IF(OR(AND(INDEX('합격 기준 수치표'!$L$6:$L$13,$Q97)&lt;&gt;"",L97&lt;INDEX('합격 기준 수치표'!$L$6:$L$13,$Q97)),AND(INDEX('합격 기준 수치표'!$M$6:$M$13,$Q97)&lt;&gt;"",L97&gt;INDEX('합격 기준 수치표'!$M$6:$M$13,$Q97))),"X","OK")))))</f>
        <v/>
      </c>
      <c r="X97" s="23" t="str">
        <f aca="false">IF($A97="","",IF($Q97=0,"?",IF(AND(INDEX('합격 기준 수치표'!$N$6:$N$13,$Q97)="",INDEX('합격 기준 수치표'!$O$6:$O$13,$Q97)=""),"-",IF(M97="","N/A",IF(OR(AND(INDEX('합격 기준 수치표'!$N$6:$N$13,$Q97)&lt;&gt;"",M97&lt;INDEX('합격 기준 수치표'!$N$6:$N$13,$Q97)),AND(INDEX('합격 기준 수치표'!$O$6:$O$13,$Q97)&lt;&gt;"",M97&gt;INDEX('합격 기준 수치표'!$O$6:$O$13,$Q97))),"X","OK")))))</f>
        <v/>
      </c>
      <c r="Y97" s="23" t="str">
        <f aca="false">IF($A97="","",IF($Q97=0,"?",IF(AND(INDEX('합격 기준 수치표'!$P$6:$P$13,$Q97)="",INDEX('합격 기준 수치표'!$Q$6:$Q$13,$Q97)=""),"-",IF(N97="","N/A",IF(OR(AND(INDEX('합격 기준 수치표'!$P$6:$P$13,$Q97)&lt;&gt;"",N97&lt;INDEX('합격 기준 수치표'!$P$6:$P$13,$Q97)),AND(INDEX('합격 기준 수치표'!$Q$6:$Q$13,$Q97)&lt;&gt;"",N97&gt;INDEX('합격 기준 수치표'!$Q$6:$Q$13,$Q97))),"X","OK")))))</f>
        <v/>
      </c>
      <c r="Z97" s="48" t="str">
        <f aca="false">IF($A97="","",COUNTIF($S97:$Y97,"X")+IF($R97="X",1,0))</f>
        <v/>
      </c>
      <c r="AA97" s="21" t="str">
        <f aca="false">IF($A97="","",IF($Q97=0,"자세명 확인",IF($Z97=0,"PASS","FAIL")))</f>
        <v/>
      </c>
    </row>
    <row r="98" customFormat="false" ht="15" hidden="false" customHeight="false" outlineLevel="0" collapsed="false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23" t="str">
        <f aca="false">IF($A98="","",IFERROR(MATCH($C98,'합격 기준 수치표'!$B$6:$B$13,0),0))</f>
        <v/>
      </c>
      <c r="R98" s="23" t="str">
        <f aca="false">IF($A98="","",IF(AND(E98&gt;='합격 기준 수치표'!$D$17,F98&gt;='합격 기준 수치표'!$D$18,F98&lt;='합격 기준 수치표'!$D$19,G98&gt;='합격 기준 수치표'!$D$20,G98&lt;='합격 기준 수치표'!$D$21,P98&lt;='합격 기준 수치표'!$D$23,OR(H98&lt;='합격 기준 수치표'!$D$24,O98="",O98&lt;='합격 기준 수치표'!$D$22)),"OK","X"))</f>
        <v/>
      </c>
      <c r="S98" s="23" t="str">
        <f aca="false">IF($A98="","",IF($Q98=0,"?",IF(AND(INDEX('합격 기준 수치표'!$D$6:$D$13,$Q98)="",INDEX('합격 기준 수치표'!$E$6:$E$13,$Q98)=""),"-",IF(H98="","N/A",IF(OR(AND(INDEX('합격 기준 수치표'!$D$6:$D$13,$Q98)&lt;&gt;"",H98&lt;INDEX('합격 기준 수치표'!$D$6:$D$13,$Q98)),AND(INDEX('합격 기준 수치표'!$E$6:$E$13,$Q98)&lt;&gt;"",H98&gt;INDEX('합격 기준 수치표'!$E$6:$E$13,$Q98))),"X","OK")))))</f>
        <v/>
      </c>
      <c r="T98" s="23" t="str">
        <f aca="false">IF($A98="","",IF($Q98=0,"?",IF(AND(INDEX('합격 기준 수치표'!$F$6:$F$13,$Q98)="",INDEX('합격 기준 수치표'!$G$6:$G$13,$Q98)=""),"-",IF(I98="","N/A",IF(OR(AND(INDEX('합격 기준 수치표'!$F$6:$F$13,$Q98)&lt;&gt;"",I98&lt;INDEX('합격 기준 수치표'!$F$6:$F$13,$Q98)),AND(INDEX('합격 기준 수치표'!$G$6:$G$13,$Q98)&lt;&gt;"",I98&gt;INDEX('합격 기준 수치표'!$G$6:$G$13,$Q98))),"X","OK")))))</f>
        <v/>
      </c>
      <c r="U98" s="23" t="str">
        <f aca="false">IF($A98="","",IF($Q98=0,"?",IF(AND(INDEX('합격 기준 수치표'!$H$6:$H$13,$Q98)="",INDEX('합격 기준 수치표'!$I$6:$I$13,$Q98)=""),"-",IF(J98="","N/A",IF(OR(AND(INDEX('합격 기준 수치표'!$H$6:$H$13,$Q98)&lt;&gt;"",J98&lt;INDEX('합격 기준 수치표'!$H$6:$H$13,$Q98)),AND(INDEX('합격 기준 수치표'!$I$6:$I$13,$Q98)&lt;&gt;"",J98&gt;INDEX('합격 기준 수치표'!$I$6:$I$13,$Q98))),"X","OK")))))</f>
        <v/>
      </c>
      <c r="V98" s="23" t="str">
        <f aca="false">IF($A98="","",IF($Q98=0,"?",IF(AND(INDEX('합격 기준 수치표'!$J$6:$J$13,$Q98)="",INDEX('합격 기준 수치표'!$K$6:$K$13,$Q98)=""),"-",IF(K98="","N/A",IF(OR(AND(INDEX('합격 기준 수치표'!$J$6:$J$13,$Q98)&lt;&gt;"",K98&lt;INDEX('합격 기준 수치표'!$J$6:$J$13,$Q98)),AND(INDEX('합격 기준 수치표'!$K$6:$K$13,$Q98)&lt;&gt;"",K98&gt;INDEX('합격 기준 수치표'!$K$6:$K$13,$Q98))),"X","OK")))))</f>
        <v/>
      </c>
      <c r="W98" s="23" t="str">
        <f aca="false">IF($A98="","",IF($Q98=0,"?",IF(AND(INDEX('합격 기준 수치표'!$L$6:$L$13,$Q98)="",INDEX('합격 기준 수치표'!$M$6:$M$13,$Q98)=""),"-",IF(L98="","N/A",IF(OR(AND(INDEX('합격 기준 수치표'!$L$6:$L$13,$Q98)&lt;&gt;"",L98&lt;INDEX('합격 기준 수치표'!$L$6:$L$13,$Q98)),AND(INDEX('합격 기준 수치표'!$M$6:$M$13,$Q98)&lt;&gt;"",L98&gt;INDEX('합격 기준 수치표'!$M$6:$M$13,$Q98))),"X","OK")))))</f>
        <v/>
      </c>
      <c r="X98" s="23" t="str">
        <f aca="false">IF($A98="","",IF($Q98=0,"?",IF(AND(INDEX('합격 기준 수치표'!$N$6:$N$13,$Q98)="",INDEX('합격 기준 수치표'!$O$6:$O$13,$Q98)=""),"-",IF(M98="","N/A",IF(OR(AND(INDEX('합격 기준 수치표'!$N$6:$N$13,$Q98)&lt;&gt;"",M98&lt;INDEX('합격 기준 수치표'!$N$6:$N$13,$Q98)),AND(INDEX('합격 기준 수치표'!$O$6:$O$13,$Q98)&lt;&gt;"",M98&gt;INDEX('합격 기준 수치표'!$O$6:$O$13,$Q98))),"X","OK")))))</f>
        <v/>
      </c>
      <c r="Y98" s="23" t="str">
        <f aca="false">IF($A98="","",IF($Q98=0,"?",IF(AND(INDEX('합격 기준 수치표'!$P$6:$P$13,$Q98)="",INDEX('합격 기준 수치표'!$Q$6:$Q$13,$Q98)=""),"-",IF(N98="","N/A",IF(OR(AND(INDEX('합격 기준 수치표'!$P$6:$P$13,$Q98)&lt;&gt;"",N98&lt;INDEX('합격 기준 수치표'!$P$6:$P$13,$Q98)),AND(INDEX('합격 기준 수치표'!$Q$6:$Q$13,$Q98)&lt;&gt;"",N98&gt;INDEX('합격 기준 수치표'!$Q$6:$Q$13,$Q98))),"X","OK")))))</f>
        <v/>
      </c>
      <c r="Z98" s="48" t="str">
        <f aca="false">IF($A98="","",COUNTIF($S98:$Y98,"X")+IF($R98="X",1,0))</f>
        <v/>
      </c>
      <c r="AA98" s="21" t="str">
        <f aca="false">IF($A98="","",IF($Q98=0,"자세명 확인",IF($Z98=0,"PASS","FAIL")))</f>
        <v/>
      </c>
    </row>
    <row r="99" customFormat="false" ht="15" hidden="false" customHeight="false" outlineLevel="0" collapsed="false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23" t="str">
        <f aca="false">IF($A99="","",IFERROR(MATCH($C99,'합격 기준 수치표'!$B$6:$B$13,0),0))</f>
        <v/>
      </c>
      <c r="R99" s="23" t="str">
        <f aca="false">IF($A99="","",IF(AND(E99&gt;='합격 기준 수치표'!$D$17,F99&gt;='합격 기준 수치표'!$D$18,F99&lt;='합격 기준 수치표'!$D$19,G99&gt;='합격 기준 수치표'!$D$20,G99&lt;='합격 기준 수치표'!$D$21,P99&lt;='합격 기준 수치표'!$D$23,OR(H99&lt;='합격 기준 수치표'!$D$24,O99="",O99&lt;='합격 기준 수치표'!$D$22)),"OK","X"))</f>
        <v/>
      </c>
      <c r="S99" s="23" t="str">
        <f aca="false">IF($A99="","",IF($Q99=0,"?",IF(AND(INDEX('합격 기준 수치표'!$D$6:$D$13,$Q99)="",INDEX('합격 기준 수치표'!$E$6:$E$13,$Q99)=""),"-",IF(H99="","N/A",IF(OR(AND(INDEX('합격 기준 수치표'!$D$6:$D$13,$Q99)&lt;&gt;"",H99&lt;INDEX('합격 기준 수치표'!$D$6:$D$13,$Q99)),AND(INDEX('합격 기준 수치표'!$E$6:$E$13,$Q99)&lt;&gt;"",H99&gt;INDEX('합격 기준 수치표'!$E$6:$E$13,$Q99))),"X","OK")))))</f>
        <v/>
      </c>
      <c r="T99" s="23" t="str">
        <f aca="false">IF($A99="","",IF($Q99=0,"?",IF(AND(INDEX('합격 기준 수치표'!$F$6:$F$13,$Q99)="",INDEX('합격 기준 수치표'!$G$6:$G$13,$Q99)=""),"-",IF(I99="","N/A",IF(OR(AND(INDEX('합격 기준 수치표'!$F$6:$F$13,$Q99)&lt;&gt;"",I99&lt;INDEX('합격 기준 수치표'!$F$6:$F$13,$Q99)),AND(INDEX('합격 기준 수치표'!$G$6:$G$13,$Q99)&lt;&gt;"",I99&gt;INDEX('합격 기준 수치표'!$G$6:$G$13,$Q99))),"X","OK")))))</f>
        <v/>
      </c>
      <c r="U99" s="23" t="str">
        <f aca="false">IF($A99="","",IF($Q99=0,"?",IF(AND(INDEX('합격 기준 수치표'!$H$6:$H$13,$Q99)="",INDEX('합격 기준 수치표'!$I$6:$I$13,$Q99)=""),"-",IF(J99="","N/A",IF(OR(AND(INDEX('합격 기준 수치표'!$H$6:$H$13,$Q99)&lt;&gt;"",J99&lt;INDEX('합격 기준 수치표'!$H$6:$H$13,$Q99)),AND(INDEX('합격 기준 수치표'!$I$6:$I$13,$Q99)&lt;&gt;"",J99&gt;INDEX('합격 기준 수치표'!$I$6:$I$13,$Q99))),"X","OK")))))</f>
        <v/>
      </c>
      <c r="V99" s="23" t="str">
        <f aca="false">IF($A99="","",IF($Q99=0,"?",IF(AND(INDEX('합격 기준 수치표'!$J$6:$J$13,$Q99)="",INDEX('합격 기준 수치표'!$K$6:$K$13,$Q99)=""),"-",IF(K99="","N/A",IF(OR(AND(INDEX('합격 기준 수치표'!$J$6:$J$13,$Q99)&lt;&gt;"",K99&lt;INDEX('합격 기준 수치표'!$J$6:$J$13,$Q99)),AND(INDEX('합격 기준 수치표'!$K$6:$K$13,$Q99)&lt;&gt;"",K99&gt;INDEX('합격 기준 수치표'!$K$6:$K$13,$Q99))),"X","OK")))))</f>
        <v/>
      </c>
      <c r="W99" s="23" t="str">
        <f aca="false">IF($A99="","",IF($Q99=0,"?",IF(AND(INDEX('합격 기준 수치표'!$L$6:$L$13,$Q99)="",INDEX('합격 기준 수치표'!$M$6:$M$13,$Q99)=""),"-",IF(L99="","N/A",IF(OR(AND(INDEX('합격 기준 수치표'!$L$6:$L$13,$Q99)&lt;&gt;"",L99&lt;INDEX('합격 기준 수치표'!$L$6:$L$13,$Q99)),AND(INDEX('합격 기준 수치표'!$M$6:$M$13,$Q99)&lt;&gt;"",L99&gt;INDEX('합격 기준 수치표'!$M$6:$M$13,$Q99))),"X","OK")))))</f>
        <v/>
      </c>
      <c r="X99" s="23" t="str">
        <f aca="false">IF($A99="","",IF($Q99=0,"?",IF(AND(INDEX('합격 기준 수치표'!$N$6:$N$13,$Q99)="",INDEX('합격 기준 수치표'!$O$6:$O$13,$Q99)=""),"-",IF(M99="","N/A",IF(OR(AND(INDEX('합격 기준 수치표'!$N$6:$N$13,$Q99)&lt;&gt;"",M99&lt;INDEX('합격 기준 수치표'!$N$6:$N$13,$Q99)),AND(INDEX('합격 기준 수치표'!$O$6:$O$13,$Q99)&lt;&gt;"",M99&gt;INDEX('합격 기준 수치표'!$O$6:$O$13,$Q99))),"X","OK")))))</f>
        <v/>
      </c>
      <c r="Y99" s="23" t="str">
        <f aca="false">IF($A99="","",IF($Q99=0,"?",IF(AND(INDEX('합격 기준 수치표'!$P$6:$P$13,$Q99)="",INDEX('합격 기준 수치표'!$Q$6:$Q$13,$Q99)=""),"-",IF(N99="","N/A",IF(OR(AND(INDEX('합격 기준 수치표'!$P$6:$P$13,$Q99)&lt;&gt;"",N99&lt;INDEX('합격 기준 수치표'!$P$6:$P$13,$Q99)),AND(INDEX('합격 기준 수치표'!$Q$6:$Q$13,$Q99)&lt;&gt;"",N99&gt;INDEX('합격 기준 수치표'!$Q$6:$Q$13,$Q99))),"X","OK")))))</f>
        <v/>
      </c>
      <c r="Z99" s="48" t="str">
        <f aca="false">IF($A99="","",COUNTIF($S99:$Y99,"X")+IF($R99="X",1,0))</f>
        <v/>
      </c>
      <c r="AA99" s="21" t="str">
        <f aca="false">IF($A99="","",IF($Q99=0,"자세명 확인",IF($Z99=0,"PASS","FAIL")))</f>
        <v/>
      </c>
    </row>
    <row r="100" customFormat="false" ht="15" hidden="false" customHeight="false" outlineLevel="0" collapsed="false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23" t="str">
        <f aca="false">IF($A100="","",IFERROR(MATCH($C100,'합격 기준 수치표'!$B$6:$B$13,0),0))</f>
        <v/>
      </c>
      <c r="R100" s="23" t="str">
        <f aca="false">IF($A100="","",IF(AND(E100&gt;='합격 기준 수치표'!$D$17,F100&gt;='합격 기준 수치표'!$D$18,F100&lt;='합격 기준 수치표'!$D$19,G100&gt;='합격 기준 수치표'!$D$20,G100&lt;='합격 기준 수치표'!$D$21,P100&lt;='합격 기준 수치표'!$D$23,OR(H100&lt;='합격 기준 수치표'!$D$24,O100="",O100&lt;='합격 기준 수치표'!$D$22)),"OK","X"))</f>
        <v/>
      </c>
      <c r="S100" s="23" t="str">
        <f aca="false">IF($A100="","",IF($Q100=0,"?",IF(AND(INDEX('합격 기준 수치표'!$D$6:$D$13,$Q100)="",INDEX('합격 기준 수치표'!$E$6:$E$13,$Q100)=""),"-",IF(H100="","N/A",IF(OR(AND(INDEX('합격 기준 수치표'!$D$6:$D$13,$Q100)&lt;&gt;"",H100&lt;INDEX('합격 기준 수치표'!$D$6:$D$13,$Q100)),AND(INDEX('합격 기준 수치표'!$E$6:$E$13,$Q100)&lt;&gt;"",H100&gt;INDEX('합격 기준 수치표'!$E$6:$E$13,$Q100))),"X","OK")))))</f>
        <v/>
      </c>
      <c r="T100" s="23" t="str">
        <f aca="false">IF($A100="","",IF($Q100=0,"?",IF(AND(INDEX('합격 기준 수치표'!$F$6:$F$13,$Q100)="",INDEX('합격 기준 수치표'!$G$6:$G$13,$Q100)=""),"-",IF(I100="","N/A",IF(OR(AND(INDEX('합격 기준 수치표'!$F$6:$F$13,$Q100)&lt;&gt;"",I100&lt;INDEX('합격 기준 수치표'!$F$6:$F$13,$Q100)),AND(INDEX('합격 기준 수치표'!$G$6:$G$13,$Q100)&lt;&gt;"",I100&gt;INDEX('합격 기준 수치표'!$G$6:$G$13,$Q100))),"X","OK")))))</f>
        <v/>
      </c>
      <c r="U100" s="23" t="str">
        <f aca="false">IF($A100="","",IF($Q100=0,"?",IF(AND(INDEX('합격 기준 수치표'!$H$6:$H$13,$Q100)="",INDEX('합격 기준 수치표'!$I$6:$I$13,$Q100)=""),"-",IF(J100="","N/A",IF(OR(AND(INDEX('합격 기준 수치표'!$H$6:$H$13,$Q100)&lt;&gt;"",J100&lt;INDEX('합격 기준 수치표'!$H$6:$H$13,$Q100)),AND(INDEX('합격 기준 수치표'!$I$6:$I$13,$Q100)&lt;&gt;"",J100&gt;INDEX('합격 기준 수치표'!$I$6:$I$13,$Q100))),"X","OK")))))</f>
        <v/>
      </c>
      <c r="V100" s="23" t="str">
        <f aca="false">IF($A100="","",IF($Q100=0,"?",IF(AND(INDEX('합격 기준 수치표'!$J$6:$J$13,$Q100)="",INDEX('합격 기준 수치표'!$K$6:$K$13,$Q100)=""),"-",IF(K100="","N/A",IF(OR(AND(INDEX('합격 기준 수치표'!$J$6:$J$13,$Q100)&lt;&gt;"",K100&lt;INDEX('합격 기준 수치표'!$J$6:$J$13,$Q100)),AND(INDEX('합격 기준 수치표'!$K$6:$K$13,$Q100)&lt;&gt;"",K100&gt;INDEX('합격 기준 수치표'!$K$6:$K$13,$Q100))),"X","OK")))))</f>
        <v/>
      </c>
      <c r="W100" s="23" t="str">
        <f aca="false">IF($A100="","",IF($Q100=0,"?",IF(AND(INDEX('합격 기준 수치표'!$L$6:$L$13,$Q100)="",INDEX('합격 기준 수치표'!$M$6:$M$13,$Q100)=""),"-",IF(L100="","N/A",IF(OR(AND(INDEX('합격 기준 수치표'!$L$6:$L$13,$Q100)&lt;&gt;"",L100&lt;INDEX('합격 기준 수치표'!$L$6:$L$13,$Q100)),AND(INDEX('합격 기준 수치표'!$M$6:$M$13,$Q100)&lt;&gt;"",L100&gt;INDEX('합격 기준 수치표'!$M$6:$M$13,$Q100))),"X","OK")))))</f>
        <v/>
      </c>
      <c r="X100" s="23" t="str">
        <f aca="false">IF($A100="","",IF($Q100=0,"?",IF(AND(INDEX('합격 기준 수치표'!$N$6:$N$13,$Q100)="",INDEX('합격 기준 수치표'!$O$6:$O$13,$Q100)=""),"-",IF(M100="","N/A",IF(OR(AND(INDEX('합격 기준 수치표'!$N$6:$N$13,$Q100)&lt;&gt;"",M100&lt;INDEX('합격 기준 수치표'!$N$6:$N$13,$Q100)),AND(INDEX('합격 기준 수치표'!$O$6:$O$13,$Q100)&lt;&gt;"",M100&gt;INDEX('합격 기준 수치표'!$O$6:$O$13,$Q100))),"X","OK")))))</f>
        <v/>
      </c>
      <c r="Y100" s="23" t="str">
        <f aca="false">IF($A100="","",IF($Q100=0,"?",IF(AND(INDEX('합격 기준 수치표'!$P$6:$P$13,$Q100)="",INDEX('합격 기준 수치표'!$Q$6:$Q$13,$Q100)=""),"-",IF(N100="","N/A",IF(OR(AND(INDEX('합격 기준 수치표'!$P$6:$P$13,$Q100)&lt;&gt;"",N100&lt;INDEX('합격 기준 수치표'!$P$6:$P$13,$Q100)),AND(INDEX('합격 기준 수치표'!$Q$6:$Q$13,$Q100)&lt;&gt;"",N100&gt;INDEX('합격 기준 수치표'!$Q$6:$Q$13,$Q100))),"X","OK")))))</f>
        <v/>
      </c>
      <c r="Z100" s="48" t="str">
        <f aca="false">IF($A100="","",COUNTIF($S100:$Y100,"X")+IF($R100="X",1,0))</f>
        <v/>
      </c>
      <c r="AA100" s="21" t="str">
        <f aca="false">IF($A100="","",IF($Q100=0,"자세명 확인",IF($Z100=0,"PASS","FAIL")))</f>
        <v/>
      </c>
    </row>
    <row r="101" customFormat="false" ht="15" hidden="false" customHeight="false" outlineLevel="0" collapsed="false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23" t="str">
        <f aca="false">IF($A101="","",IFERROR(MATCH($C101,'합격 기준 수치표'!$B$6:$B$13,0),0))</f>
        <v/>
      </c>
      <c r="R101" s="23" t="str">
        <f aca="false">IF($A101="","",IF(AND(E101&gt;='합격 기준 수치표'!$D$17,F101&gt;='합격 기준 수치표'!$D$18,F101&lt;='합격 기준 수치표'!$D$19,G101&gt;='합격 기준 수치표'!$D$20,G101&lt;='합격 기준 수치표'!$D$21,P101&lt;='합격 기준 수치표'!$D$23,OR(H101&lt;='합격 기준 수치표'!$D$24,O101="",O101&lt;='합격 기준 수치표'!$D$22)),"OK","X"))</f>
        <v/>
      </c>
      <c r="S101" s="23" t="str">
        <f aca="false">IF($A101="","",IF($Q101=0,"?",IF(AND(INDEX('합격 기준 수치표'!$D$6:$D$13,$Q101)="",INDEX('합격 기준 수치표'!$E$6:$E$13,$Q101)=""),"-",IF(H101="","N/A",IF(OR(AND(INDEX('합격 기준 수치표'!$D$6:$D$13,$Q101)&lt;&gt;"",H101&lt;INDEX('합격 기준 수치표'!$D$6:$D$13,$Q101)),AND(INDEX('합격 기준 수치표'!$E$6:$E$13,$Q101)&lt;&gt;"",H101&gt;INDEX('합격 기준 수치표'!$E$6:$E$13,$Q101))),"X","OK")))))</f>
        <v/>
      </c>
      <c r="T101" s="23" t="str">
        <f aca="false">IF($A101="","",IF($Q101=0,"?",IF(AND(INDEX('합격 기준 수치표'!$F$6:$F$13,$Q101)="",INDEX('합격 기준 수치표'!$G$6:$G$13,$Q101)=""),"-",IF(I101="","N/A",IF(OR(AND(INDEX('합격 기준 수치표'!$F$6:$F$13,$Q101)&lt;&gt;"",I101&lt;INDEX('합격 기준 수치표'!$F$6:$F$13,$Q101)),AND(INDEX('합격 기준 수치표'!$G$6:$G$13,$Q101)&lt;&gt;"",I101&gt;INDEX('합격 기준 수치표'!$G$6:$G$13,$Q101))),"X","OK")))))</f>
        <v/>
      </c>
      <c r="U101" s="23" t="str">
        <f aca="false">IF($A101="","",IF($Q101=0,"?",IF(AND(INDEX('합격 기준 수치표'!$H$6:$H$13,$Q101)="",INDEX('합격 기준 수치표'!$I$6:$I$13,$Q101)=""),"-",IF(J101="","N/A",IF(OR(AND(INDEX('합격 기준 수치표'!$H$6:$H$13,$Q101)&lt;&gt;"",J101&lt;INDEX('합격 기준 수치표'!$H$6:$H$13,$Q101)),AND(INDEX('합격 기준 수치표'!$I$6:$I$13,$Q101)&lt;&gt;"",J101&gt;INDEX('합격 기준 수치표'!$I$6:$I$13,$Q101))),"X","OK")))))</f>
        <v/>
      </c>
      <c r="V101" s="23" t="str">
        <f aca="false">IF($A101="","",IF($Q101=0,"?",IF(AND(INDEX('합격 기준 수치표'!$J$6:$J$13,$Q101)="",INDEX('합격 기준 수치표'!$K$6:$K$13,$Q101)=""),"-",IF(K101="","N/A",IF(OR(AND(INDEX('합격 기준 수치표'!$J$6:$J$13,$Q101)&lt;&gt;"",K101&lt;INDEX('합격 기준 수치표'!$J$6:$J$13,$Q101)),AND(INDEX('합격 기준 수치표'!$K$6:$K$13,$Q101)&lt;&gt;"",K101&gt;INDEX('합격 기준 수치표'!$K$6:$K$13,$Q101))),"X","OK")))))</f>
        <v/>
      </c>
      <c r="W101" s="23" t="str">
        <f aca="false">IF($A101="","",IF($Q101=0,"?",IF(AND(INDEX('합격 기준 수치표'!$L$6:$L$13,$Q101)="",INDEX('합격 기준 수치표'!$M$6:$M$13,$Q101)=""),"-",IF(L101="","N/A",IF(OR(AND(INDEX('합격 기준 수치표'!$L$6:$L$13,$Q101)&lt;&gt;"",L101&lt;INDEX('합격 기준 수치표'!$L$6:$L$13,$Q101)),AND(INDEX('합격 기준 수치표'!$M$6:$M$13,$Q101)&lt;&gt;"",L101&gt;INDEX('합격 기준 수치표'!$M$6:$M$13,$Q101))),"X","OK")))))</f>
        <v/>
      </c>
      <c r="X101" s="23" t="str">
        <f aca="false">IF($A101="","",IF($Q101=0,"?",IF(AND(INDEX('합격 기준 수치표'!$N$6:$N$13,$Q101)="",INDEX('합격 기준 수치표'!$O$6:$O$13,$Q101)=""),"-",IF(M101="","N/A",IF(OR(AND(INDEX('합격 기준 수치표'!$N$6:$N$13,$Q101)&lt;&gt;"",M101&lt;INDEX('합격 기준 수치표'!$N$6:$N$13,$Q101)),AND(INDEX('합격 기준 수치표'!$O$6:$O$13,$Q101)&lt;&gt;"",M101&gt;INDEX('합격 기준 수치표'!$O$6:$O$13,$Q101))),"X","OK")))))</f>
        <v/>
      </c>
      <c r="Y101" s="23" t="str">
        <f aca="false">IF($A101="","",IF($Q101=0,"?",IF(AND(INDEX('합격 기준 수치표'!$P$6:$P$13,$Q101)="",INDEX('합격 기준 수치표'!$Q$6:$Q$13,$Q101)=""),"-",IF(N101="","N/A",IF(OR(AND(INDEX('합격 기준 수치표'!$P$6:$P$13,$Q101)&lt;&gt;"",N101&lt;INDEX('합격 기준 수치표'!$P$6:$P$13,$Q101)),AND(INDEX('합격 기준 수치표'!$Q$6:$Q$13,$Q101)&lt;&gt;"",N101&gt;INDEX('합격 기준 수치표'!$Q$6:$Q$13,$Q101))),"X","OK")))))</f>
        <v/>
      </c>
      <c r="Z101" s="48" t="str">
        <f aca="false">IF($A101="","",COUNTIF($S101:$Y101,"X")+IF($R101="X",1,0))</f>
        <v/>
      </c>
      <c r="AA101" s="21" t="str">
        <f aca="false">IF($A101="","",IF($Q101=0,"자세명 확인",IF($Z101=0,"PASS","FAIL")))</f>
        <v/>
      </c>
    </row>
    <row r="102" customFormat="false" ht="15" hidden="false" customHeight="false" outlineLevel="0" collapsed="false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23" t="str">
        <f aca="false">IF($A102="","",IFERROR(MATCH($C102,'합격 기준 수치표'!$B$6:$B$13,0),0))</f>
        <v/>
      </c>
      <c r="R102" s="23" t="str">
        <f aca="false">IF($A102="","",IF(AND(E102&gt;='합격 기준 수치표'!$D$17,F102&gt;='합격 기준 수치표'!$D$18,F102&lt;='합격 기준 수치표'!$D$19,G102&gt;='합격 기준 수치표'!$D$20,G102&lt;='합격 기준 수치표'!$D$21,P102&lt;='합격 기준 수치표'!$D$23,OR(H102&lt;='합격 기준 수치표'!$D$24,O102="",O102&lt;='합격 기준 수치표'!$D$22)),"OK","X"))</f>
        <v/>
      </c>
      <c r="S102" s="23" t="str">
        <f aca="false">IF($A102="","",IF($Q102=0,"?",IF(AND(INDEX('합격 기준 수치표'!$D$6:$D$13,$Q102)="",INDEX('합격 기준 수치표'!$E$6:$E$13,$Q102)=""),"-",IF(H102="","N/A",IF(OR(AND(INDEX('합격 기준 수치표'!$D$6:$D$13,$Q102)&lt;&gt;"",H102&lt;INDEX('합격 기준 수치표'!$D$6:$D$13,$Q102)),AND(INDEX('합격 기준 수치표'!$E$6:$E$13,$Q102)&lt;&gt;"",H102&gt;INDEX('합격 기준 수치표'!$E$6:$E$13,$Q102))),"X","OK")))))</f>
        <v/>
      </c>
      <c r="T102" s="23" t="str">
        <f aca="false">IF($A102="","",IF($Q102=0,"?",IF(AND(INDEX('합격 기준 수치표'!$F$6:$F$13,$Q102)="",INDEX('합격 기준 수치표'!$G$6:$G$13,$Q102)=""),"-",IF(I102="","N/A",IF(OR(AND(INDEX('합격 기준 수치표'!$F$6:$F$13,$Q102)&lt;&gt;"",I102&lt;INDEX('합격 기준 수치표'!$F$6:$F$13,$Q102)),AND(INDEX('합격 기준 수치표'!$G$6:$G$13,$Q102)&lt;&gt;"",I102&gt;INDEX('합격 기준 수치표'!$G$6:$G$13,$Q102))),"X","OK")))))</f>
        <v/>
      </c>
      <c r="U102" s="23" t="str">
        <f aca="false">IF($A102="","",IF($Q102=0,"?",IF(AND(INDEX('합격 기준 수치표'!$H$6:$H$13,$Q102)="",INDEX('합격 기준 수치표'!$I$6:$I$13,$Q102)=""),"-",IF(J102="","N/A",IF(OR(AND(INDEX('합격 기준 수치표'!$H$6:$H$13,$Q102)&lt;&gt;"",J102&lt;INDEX('합격 기준 수치표'!$H$6:$H$13,$Q102)),AND(INDEX('합격 기준 수치표'!$I$6:$I$13,$Q102)&lt;&gt;"",J102&gt;INDEX('합격 기준 수치표'!$I$6:$I$13,$Q102))),"X","OK")))))</f>
        <v/>
      </c>
      <c r="V102" s="23" t="str">
        <f aca="false">IF($A102="","",IF($Q102=0,"?",IF(AND(INDEX('합격 기준 수치표'!$J$6:$J$13,$Q102)="",INDEX('합격 기준 수치표'!$K$6:$K$13,$Q102)=""),"-",IF(K102="","N/A",IF(OR(AND(INDEX('합격 기준 수치표'!$J$6:$J$13,$Q102)&lt;&gt;"",K102&lt;INDEX('합격 기준 수치표'!$J$6:$J$13,$Q102)),AND(INDEX('합격 기준 수치표'!$K$6:$K$13,$Q102)&lt;&gt;"",K102&gt;INDEX('합격 기준 수치표'!$K$6:$K$13,$Q102))),"X","OK")))))</f>
        <v/>
      </c>
      <c r="W102" s="23" t="str">
        <f aca="false">IF($A102="","",IF($Q102=0,"?",IF(AND(INDEX('합격 기준 수치표'!$L$6:$L$13,$Q102)="",INDEX('합격 기준 수치표'!$M$6:$M$13,$Q102)=""),"-",IF(L102="","N/A",IF(OR(AND(INDEX('합격 기준 수치표'!$L$6:$L$13,$Q102)&lt;&gt;"",L102&lt;INDEX('합격 기준 수치표'!$L$6:$L$13,$Q102)),AND(INDEX('합격 기준 수치표'!$M$6:$M$13,$Q102)&lt;&gt;"",L102&gt;INDEX('합격 기준 수치표'!$M$6:$M$13,$Q102))),"X","OK")))))</f>
        <v/>
      </c>
      <c r="X102" s="23" t="str">
        <f aca="false">IF($A102="","",IF($Q102=0,"?",IF(AND(INDEX('합격 기준 수치표'!$N$6:$N$13,$Q102)="",INDEX('합격 기준 수치표'!$O$6:$O$13,$Q102)=""),"-",IF(M102="","N/A",IF(OR(AND(INDEX('합격 기준 수치표'!$N$6:$N$13,$Q102)&lt;&gt;"",M102&lt;INDEX('합격 기준 수치표'!$N$6:$N$13,$Q102)),AND(INDEX('합격 기준 수치표'!$O$6:$O$13,$Q102)&lt;&gt;"",M102&gt;INDEX('합격 기준 수치표'!$O$6:$O$13,$Q102))),"X","OK")))))</f>
        <v/>
      </c>
      <c r="Y102" s="23" t="str">
        <f aca="false">IF($A102="","",IF($Q102=0,"?",IF(AND(INDEX('합격 기준 수치표'!$P$6:$P$13,$Q102)="",INDEX('합격 기준 수치표'!$Q$6:$Q$13,$Q102)=""),"-",IF(N102="","N/A",IF(OR(AND(INDEX('합격 기준 수치표'!$P$6:$P$13,$Q102)&lt;&gt;"",N102&lt;INDEX('합격 기준 수치표'!$P$6:$P$13,$Q102)),AND(INDEX('합격 기준 수치표'!$Q$6:$Q$13,$Q102)&lt;&gt;"",N102&gt;INDEX('합격 기준 수치표'!$Q$6:$Q$13,$Q102))),"X","OK")))))</f>
        <v/>
      </c>
      <c r="Z102" s="48" t="str">
        <f aca="false">IF($A102="","",COUNTIF($S102:$Y102,"X")+IF($R102="X",1,0))</f>
        <v/>
      </c>
      <c r="AA102" s="21" t="str">
        <f aca="false">IF($A102="","",IF($Q102=0,"자세명 확인",IF($Z102=0,"PASS","FAIL")))</f>
        <v/>
      </c>
    </row>
    <row r="103" customFormat="false" ht="15" hidden="false" customHeight="false" outlineLevel="0" collapsed="false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23" t="str">
        <f aca="false">IF($A103="","",IFERROR(MATCH($C103,'합격 기준 수치표'!$B$6:$B$13,0),0))</f>
        <v/>
      </c>
      <c r="R103" s="23" t="str">
        <f aca="false">IF($A103="","",IF(AND(E103&gt;='합격 기준 수치표'!$D$17,F103&gt;='합격 기준 수치표'!$D$18,F103&lt;='합격 기준 수치표'!$D$19,G103&gt;='합격 기준 수치표'!$D$20,G103&lt;='합격 기준 수치표'!$D$21,P103&lt;='합격 기준 수치표'!$D$23,OR(H103&lt;='합격 기준 수치표'!$D$24,O103="",O103&lt;='합격 기준 수치표'!$D$22)),"OK","X"))</f>
        <v/>
      </c>
      <c r="S103" s="23" t="str">
        <f aca="false">IF($A103="","",IF($Q103=0,"?",IF(AND(INDEX('합격 기준 수치표'!$D$6:$D$13,$Q103)="",INDEX('합격 기준 수치표'!$E$6:$E$13,$Q103)=""),"-",IF(H103="","N/A",IF(OR(AND(INDEX('합격 기준 수치표'!$D$6:$D$13,$Q103)&lt;&gt;"",H103&lt;INDEX('합격 기준 수치표'!$D$6:$D$13,$Q103)),AND(INDEX('합격 기준 수치표'!$E$6:$E$13,$Q103)&lt;&gt;"",H103&gt;INDEX('합격 기준 수치표'!$E$6:$E$13,$Q103))),"X","OK")))))</f>
        <v/>
      </c>
      <c r="T103" s="23" t="str">
        <f aca="false">IF($A103="","",IF($Q103=0,"?",IF(AND(INDEX('합격 기준 수치표'!$F$6:$F$13,$Q103)="",INDEX('합격 기준 수치표'!$G$6:$G$13,$Q103)=""),"-",IF(I103="","N/A",IF(OR(AND(INDEX('합격 기준 수치표'!$F$6:$F$13,$Q103)&lt;&gt;"",I103&lt;INDEX('합격 기준 수치표'!$F$6:$F$13,$Q103)),AND(INDEX('합격 기준 수치표'!$G$6:$G$13,$Q103)&lt;&gt;"",I103&gt;INDEX('합격 기준 수치표'!$G$6:$G$13,$Q103))),"X","OK")))))</f>
        <v/>
      </c>
      <c r="U103" s="23" t="str">
        <f aca="false">IF($A103="","",IF($Q103=0,"?",IF(AND(INDEX('합격 기준 수치표'!$H$6:$H$13,$Q103)="",INDEX('합격 기준 수치표'!$I$6:$I$13,$Q103)=""),"-",IF(J103="","N/A",IF(OR(AND(INDEX('합격 기준 수치표'!$H$6:$H$13,$Q103)&lt;&gt;"",J103&lt;INDEX('합격 기준 수치표'!$H$6:$H$13,$Q103)),AND(INDEX('합격 기준 수치표'!$I$6:$I$13,$Q103)&lt;&gt;"",J103&gt;INDEX('합격 기준 수치표'!$I$6:$I$13,$Q103))),"X","OK")))))</f>
        <v/>
      </c>
      <c r="V103" s="23" t="str">
        <f aca="false">IF($A103="","",IF($Q103=0,"?",IF(AND(INDEX('합격 기준 수치표'!$J$6:$J$13,$Q103)="",INDEX('합격 기준 수치표'!$K$6:$K$13,$Q103)=""),"-",IF(K103="","N/A",IF(OR(AND(INDEX('합격 기준 수치표'!$J$6:$J$13,$Q103)&lt;&gt;"",K103&lt;INDEX('합격 기준 수치표'!$J$6:$J$13,$Q103)),AND(INDEX('합격 기준 수치표'!$K$6:$K$13,$Q103)&lt;&gt;"",K103&gt;INDEX('합격 기준 수치표'!$K$6:$K$13,$Q103))),"X","OK")))))</f>
        <v/>
      </c>
      <c r="W103" s="23" t="str">
        <f aca="false">IF($A103="","",IF($Q103=0,"?",IF(AND(INDEX('합격 기준 수치표'!$L$6:$L$13,$Q103)="",INDEX('합격 기준 수치표'!$M$6:$M$13,$Q103)=""),"-",IF(L103="","N/A",IF(OR(AND(INDEX('합격 기준 수치표'!$L$6:$L$13,$Q103)&lt;&gt;"",L103&lt;INDEX('합격 기준 수치표'!$L$6:$L$13,$Q103)),AND(INDEX('합격 기준 수치표'!$M$6:$M$13,$Q103)&lt;&gt;"",L103&gt;INDEX('합격 기준 수치표'!$M$6:$M$13,$Q103))),"X","OK")))))</f>
        <v/>
      </c>
      <c r="X103" s="23" t="str">
        <f aca="false">IF($A103="","",IF($Q103=0,"?",IF(AND(INDEX('합격 기준 수치표'!$N$6:$N$13,$Q103)="",INDEX('합격 기준 수치표'!$O$6:$O$13,$Q103)=""),"-",IF(M103="","N/A",IF(OR(AND(INDEX('합격 기준 수치표'!$N$6:$N$13,$Q103)&lt;&gt;"",M103&lt;INDEX('합격 기준 수치표'!$N$6:$N$13,$Q103)),AND(INDEX('합격 기준 수치표'!$O$6:$O$13,$Q103)&lt;&gt;"",M103&gt;INDEX('합격 기준 수치표'!$O$6:$O$13,$Q103))),"X","OK")))))</f>
        <v/>
      </c>
      <c r="Y103" s="23" t="str">
        <f aca="false">IF($A103="","",IF($Q103=0,"?",IF(AND(INDEX('합격 기준 수치표'!$P$6:$P$13,$Q103)="",INDEX('합격 기준 수치표'!$Q$6:$Q$13,$Q103)=""),"-",IF(N103="","N/A",IF(OR(AND(INDEX('합격 기준 수치표'!$P$6:$P$13,$Q103)&lt;&gt;"",N103&lt;INDEX('합격 기준 수치표'!$P$6:$P$13,$Q103)),AND(INDEX('합격 기준 수치표'!$Q$6:$Q$13,$Q103)&lt;&gt;"",N103&gt;INDEX('합격 기준 수치표'!$Q$6:$Q$13,$Q103))),"X","OK")))))</f>
        <v/>
      </c>
      <c r="Z103" s="48" t="str">
        <f aca="false">IF($A103="","",COUNTIF($S103:$Y103,"X")+IF($R103="X",1,0))</f>
        <v/>
      </c>
      <c r="AA103" s="21" t="str">
        <f aca="false">IF($A103="","",IF($Q103=0,"자세명 확인",IF($Z103=0,"PASS","FAIL")))</f>
        <v/>
      </c>
    </row>
    <row r="104" customFormat="false" ht="15" hidden="false" customHeight="false" outlineLevel="0" collapsed="false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23" t="str">
        <f aca="false">IF($A104="","",IFERROR(MATCH($C104,'합격 기준 수치표'!$B$6:$B$13,0),0))</f>
        <v/>
      </c>
      <c r="R104" s="23" t="str">
        <f aca="false">IF($A104="","",IF(AND(E104&gt;='합격 기준 수치표'!$D$17,F104&gt;='합격 기준 수치표'!$D$18,F104&lt;='합격 기준 수치표'!$D$19,G104&gt;='합격 기준 수치표'!$D$20,G104&lt;='합격 기준 수치표'!$D$21,P104&lt;='합격 기준 수치표'!$D$23,OR(H104&lt;='합격 기준 수치표'!$D$24,O104="",O104&lt;='합격 기준 수치표'!$D$22)),"OK","X"))</f>
        <v/>
      </c>
      <c r="S104" s="23" t="str">
        <f aca="false">IF($A104="","",IF($Q104=0,"?",IF(AND(INDEX('합격 기준 수치표'!$D$6:$D$13,$Q104)="",INDEX('합격 기준 수치표'!$E$6:$E$13,$Q104)=""),"-",IF(H104="","N/A",IF(OR(AND(INDEX('합격 기준 수치표'!$D$6:$D$13,$Q104)&lt;&gt;"",H104&lt;INDEX('합격 기준 수치표'!$D$6:$D$13,$Q104)),AND(INDEX('합격 기준 수치표'!$E$6:$E$13,$Q104)&lt;&gt;"",H104&gt;INDEX('합격 기준 수치표'!$E$6:$E$13,$Q104))),"X","OK")))))</f>
        <v/>
      </c>
      <c r="T104" s="23" t="str">
        <f aca="false">IF($A104="","",IF($Q104=0,"?",IF(AND(INDEX('합격 기준 수치표'!$F$6:$F$13,$Q104)="",INDEX('합격 기준 수치표'!$G$6:$G$13,$Q104)=""),"-",IF(I104="","N/A",IF(OR(AND(INDEX('합격 기준 수치표'!$F$6:$F$13,$Q104)&lt;&gt;"",I104&lt;INDEX('합격 기준 수치표'!$F$6:$F$13,$Q104)),AND(INDEX('합격 기준 수치표'!$G$6:$G$13,$Q104)&lt;&gt;"",I104&gt;INDEX('합격 기준 수치표'!$G$6:$G$13,$Q104))),"X","OK")))))</f>
        <v/>
      </c>
      <c r="U104" s="23" t="str">
        <f aca="false">IF($A104="","",IF($Q104=0,"?",IF(AND(INDEX('합격 기준 수치표'!$H$6:$H$13,$Q104)="",INDEX('합격 기준 수치표'!$I$6:$I$13,$Q104)=""),"-",IF(J104="","N/A",IF(OR(AND(INDEX('합격 기준 수치표'!$H$6:$H$13,$Q104)&lt;&gt;"",J104&lt;INDEX('합격 기준 수치표'!$H$6:$H$13,$Q104)),AND(INDEX('합격 기준 수치표'!$I$6:$I$13,$Q104)&lt;&gt;"",J104&gt;INDEX('합격 기준 수치표'!$I$6:$I$13,$Q104))),"X","OK")))))</f>
        <v/>
      </c>
      <c r="V104" s="23" t="str">
        <f aca="false">IF($A104="","",IF($Q104=0,"?",IF(AND(INDEX('합격 기준 수치표'!$J$6:$J$13,$Q104)="",INDEX('합격 기준 수치표'!$K$6:$K$13,$Q104)=""),"-",IF(K104="","N/A",IF(OR(AND(INDEX('합격 기준 수치표'!$J$6:$J$13,$Q104)&lt;&gt;"",K104&lt;INDEX('합격 기준 수치표'!$J$6:$J$13,$Q104)),AND(INDEX('합격 기준 수치표'!$K$6:$K$13,$Q104)&lt;&gt;"",K104&gt;INDEX('합격 기준 수치표'!$K$6:$K$13,$Q104))),"X","OK")))))</f>
        <v/>
      </c>
      <c r="W104" s="23" t="str">
        <f aca="false">IF($A104="","",IF($Q104=0,"?",IF(AND(INDEX('합격 기준 수치표'!$L$6:$L$13,$Q104)="",INDEX('합격 기준 수치표'!$M$6:$M$13,$Q104)=""),"-",IF(L104="","N/A",IF(OR(AND(INDEX('합격 기준 수치표'!$L$6:$L$13,$Q104)&lt;&gt;"",L104&lt;INDEX('합격 기준 수치표'!$L$6:$L$13,$Q104)),AND(INDEX('합격 기준 수치표'!$M$6:$M$13,$Q104)&lt;&gt;"",L104&gt;INDEX('합격 기준 수치표'!$M$6:$M$13,$Q104))),"X","OK")))))</f>
        <v/>
      </c>
      <c r="X104" s="23" t="str">
        <f aca="false">IF($A104="","",IF($Q104=0,"?",IF(AND(INDEX('합격 기준 수치표'!$N$6:$N$13,$Q104)="",INDEX('합격 기준 수치표'!$O$6:$O$13,$Q104)=""),"-",IF(M104="","N/A",IF(OR(AND(INDEX('합격 기준 수치표'!$N$6:$N$13,$Q104)&lt;&gt;"",M104&lt;INDEX('합격 기준 수치표'!$N$6:$N$13,$Q104)),AND(INDEX('합격 기준 수치표'!$O$6:$O$13,$Q104)&lt;&gt;"",M104&gt;INDEX('합격 기준 수치표'!$O$6:$O$13,$Q104))),"X","OK")))))</f>
        <v/>
      </c>
      <c r="Y104" s="23" t="str">
        <f aca="false">IF($A104="","",IF($Q104=0,"?",IF(AND(INDEX('합격 기준 수치표'!$P$6:$P$13,$Q104)="",INDEX('합격 기준 수치표'!$Q$6:$Q$13,$Q104)=""),"-",IF(N104="","N/A",IF(OR(AND(INDEX('합격 기준 수치표'!$P$6:$P$13,$Q104)&lt;&gt;"",N104&lt;INDEX('합격 기준 수치표'!$P$6:$P$13,$Q104)),AND(INDEX('합격 기준 수치표'!$Q$6:$Q$13,$Q104)&lt;&gt;"",N104&gt;INDEX('합격 기준 수치표'!$Q$6:$Q$13,$Q104))),"X","OK")))))</f>
        <v/>
      </c>
      <c r="Z104" s="48" t="str">
        <f aca="false">IF($A104="","",COUNTIF($S104:$Y104,"X")+IF($R104="X",1,0))</f>
        <v/>
      </c>
      <c r="AA104" s="21" t="str">
        <f aca="false">IF($A104="","",IF($Q104=0,"자세명 확인",IF($Z104=0,"PASS","FAIL")))</f>
        <v/>
      </c>
    </row>
    <row r="105" customFormat="false" ht="15" hidden="false" customHeight="false" outlineLevel="0" collapsed="false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23" t="str">
        <f aca="false">IF($A105="","",IFERROR(MATCH($C105,'합격 기준 수치표'!$B$6:$B$13,0),0))</f>
        <v/>
      </c>
      <c r="R105" s="23" t="str">
        <f aca="false">IF($A105="","",IF(AND(E105&gt;='합격 기준 수치표'!$D$17,F105&gt;='합격 기준 수치표'!$D$18,F105&lt;='합격 기준 수치표'!$D$19,G105&gt;='합격 기준 수치표'!$D$20,G105&lt;='합격 기준 수치표'!$D$21,P105&lt;='합격 기준 수치표'!$D$23,OR(H105&lt;='합격 기준 수치표'!$D$24,O105="",O105&lt;='합격 기준 수치표'!$D$22)),"OK","X"))</f>
        <v/>
      </c>
      <c r="S105" s="23" t="str">
        <f aca="false">IF($A105="","",IF($Q105=0,"?",IF(AND(INDEX('합격 기준 수치표'!$D$6:$D$13,$Q105)="",INDEX('합격 기준 수치표'!$E$6:$E$13,$Q105)=""),"-",IF(H105="","N/A",IF(OR(AND(INDEX('합격 기준 수치표'!$D$6:$D$13,$Q105)&lt;&gt;"",H105&lt;INDEX('합격 기준 수치표'!$D$6:$D$13,$Q105)),AND(INDEX('합격 기준 수치표'!$E$6:$E$13,$Q105)&lt;&gt;"",H105&gt;INDEX('합격 기준 수치표'!$E$6:$E$13,$Q105))),"X","OK")))))</f>
        <v/>
      </c>
      <c r="T105" s="23" t="str">
        <f aca="false">IF($A105="","",IF($Q105=0,"?",IF(AND(INDEX('합격 기준 수치표'!$F$6:$F$13,$Q105)="",INDEX('합격 기준 수치표'!$G$6:$G$13,$Q105)=""),"-",IF(I105="","N/A",IF(OR(AND(INDEX('합격 기준 수치표'!$F$6:$F$13,$Q105)&lt;&gt;"",I105&lt;INDEX('합격 기준 수치표'!$F$6:$F$13,$Q105)),AND(INDEX('합격 기준 수치표'!$G$6:$G$13,$Q105)&lt;&gt;"",I105&gt;INDEX('합격 기준 수치표'!$G$6:$G$13,$Q105))),"X","OK")))))</f>
        <v/>
      </c>
      <c r="U105" s="23" t="str">
        <f aca="false">IF($A105="","",IF($Q105=0,"?",IF(AND(INDEX('합격 기준 수치표'!$H$6:$H$13,$Q105)="",INDEX('합격 기준 수치표'!$I$6:$I$13,$Q105)=""),"-",IF(J105="","N/A",IF(OR(AND(INDEX('합격 기준 수치표'!$H$6:$H$13,$Q105)&lt;&gt;"",J105&lt;INDEX('합격 기준 수치표'!$H$6:$H$13,$Q105)),AND(INDEX('합격 기준 수치표'!$I$6:$I$13,$Q105)&lt;&gt;"",J105&gt;INDEX('합격 기준 수치표'!$I$6:$I$13,$Q105))),"X","OK")))))</f>
        <v/>
      </c>
      <c r="V105" s="23" t="str">
        <f aca="false">IF($A105="","",IF($Q105=0,"?",IF(AND(INDEX('합격 기준 수치표'!$J$6:$J$13,$Q105)="",INDEX('합격 기준 수치표'!$K$6:$K$13,$Q105)=""),"-",IF(K105="","N/A",IF(OR(AND(INDEX('합격 기준 수치표'!$J$6:$J$13,$Q105)&lt;&gt;"",K105&lt;INDEX('합격 기준 수치표'!$J$6:$J$13,$Q105)),AND(INDEX('합격 기준 수치표'!$K$6:$K$13,$Q105)&lt;&gt;"",K105&gt;INDEX('합격 기준 수치표'!$K$6:$K$13,$Q105))),"X","OK")))))</f>
        <v/>
      </c>
      <c r="W105" s="23" t="str">
        <f aca="false">IF($A105="","",IF($Q105=0,"?",IF(AND(INDEX('합격 기준 수치표'!$L$6:$L$13,$Q105)="",INDEX('합격 기준 수치표'!$M$6:$M$13,$Q105)=""),"-",IF(L105="","N/A",IF(OR(AND(INDEX('합격 기준 수치표'!$L$6:$L$13,$Q105)&lt;&gt;"",L105&lt;INDEX('합격 기준 수치표'!$L$6:$L$13,$Q105)),AND(INDEX('합격 기준 수치표'!$M$6:$M$13,$Q105)&lt;&gt;"",L105&gt;INDEX('합격 기준 수치표'!$M$6:$M$13,$Q105))),"X","OK")))))</f>
        <v/>
      </c>
      <c r="X105" s="23" t="str">
        <f aca="false">IF($A105="","",IF($Q105=0,"?",IF(AND(INDEX('합격 기준 수치표'!$N$6:$N$13,$Q105)="",INDEX('합격 기준 수치표'!$O$6:$O$13,$Q105)=""),"-",IF(M105="","N/A",IF(OR(AND(INDEX('합격 기준 수치표'!$N$6:$N$13,$Q105)&lt;&gt;"",M105&lt;INDEX('합격 기준 수치표'!$N$6:$N$13,$Q105)),AND(INDEX('합격 기준 수치표'!$O$6:$O$13,$Q105)&lt;&gt;"",M105&gt;INDEX('합격 기준 수치표'!$O$6:$O$13,$Q105))),"X","OK")))))</f>
        <v/>
      </c>
      <c r="Y105" s="23" t="str">
        <f aca="false">IF($A105="","",IF($Q105=0,"?",IF(AND(INDEX('합격 기준 수치표'!$P$6:$P$13,$Q105)="",INDEX('합격 기준 수치표'!$Q$6:$Q$13,$Q105)=""),"-",IF(N105="","N/A",IF(OR(AND(INDEX('합격 기준 수치표'!$P$6:$P$13,$Q105)&lt;&gt;"",N105&lt;INDEX('합격 기준 수치표'!$P$6:$P$13,$Q105)),AND(INDEX('합격 기준 수치표'!$Q$6:$Q$13,$Q105)&lt;&gt;"",N105&gt;INDEX('합격 기준 수치표'!$Q$6:$Q$13,$Q105))),"X","OK")))))</f>
        <v/>
      </c>
      <c r="Z105" s="48" t="str">
        <f aca="false">IF($A105="","",COUNTIF($S105:$Y105,"X")+IF($R105="X",1,0))</f>
        <v/>
      </c>
      <c r="AA105" s="21" t="str">
        <f aca="false">IF($A105="","",IF($Q105=0,"자세명 확인",IF($Z105=0,"PASS","FAIL")))</f>
        <v/>
      </c>
    </row>
    <row r="107" customFormat="false" ht="15" hidden="false" customHeight="false" outlineLevel="0" collapsed="false">
      <c r="A107" s="13" t="s">
        <v>412</v>
      </c>
      <c r="B107" s="26" t="n">
        <f aca="false">COUNTIF(AA6:AA105,"PASS")</f>
        <v>25</v>
      </c>
      <c r="C107" s="13" t="s">
        <v>413</v>
      </c>
      <c r="D107" s="26" t="n">
        <f aca="false">COUNTIF(AA6:AA105,"FAIL")</f>
        <v>3</v>
      </c>
    </row>
  </sheetData>
  <conditionalFormatting sqref="R6:AA105">
    <cfRule type="cellIs" priority="2" operator="equal" aboveAverage="0" equalAverage="0" bottom="0" percent="0" rank="0" text="" dxfId="0">
      <formula>"X"</formula>
    </cfRule>
    <cfRule type="cellIs" priority="3" operator="equal" aboveAverage="0" equalAverage="0" bottom="0" percent="0" rank="0" text="" dxfId="0">
      <formula>"FAIL"</formula>
    </cfRule>
    <cfRule type="cellIs" priority="4" operator="equal" aboveAverage="0" equalAverage="0" bottom="0" percent="0" rank="0" text="" dxfId="1">
      <formula>"OK"</formula>
    </cfRule>
    <cfRule type="cellIs" priority="5" operator="equal" aboveAverage="0" equalAverage="0" bottom="0" percent="0" rank="0" text="" dxfId="1">
      <formula>"PASS"</formula>
    </cfRule>
    <cfRule type="cellIs" priority="6" operator="equal" aboveAverage="0" equalAverage="0" bottom="0" percent="0" rank="0" text="" dxfId="2">
      <formula>"N/A"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M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10" min="3" style="0" width="12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11"/>
  </cols>
  <sheetData>
    <row r="1" customFormat="false" ht="23.1" hidden="false" customHeight="false" outlineLevel="0" collapsed="false">
      <c r="A1" s="1" t="s">
        <v>414</v>
      </c>
    </row>
    <row r="2" customFormat="false" ht="15" hidden="false" customHeight="false" outlineLevel="0" collapsed="false">
      <c r="A2" s="2" t="s">
        <v>415</v>
      </c>
    </row>
    <row r="3" customFormat="false" ht="15" hidden="false" customHeight="false" outlineLevel="0" collapsed="false">
      <c r="A3" s="13" t="s">
        <v>416</v>
      </c>
      <c r="C3" s="28" t="n">
        <v>3</v>
      </c>
      <c r="D3" s="2" t="s">
        <v>417</v>
      </c>
    </row>
    <row r="4" customFormat="false" ht="33.75" hidden="false" customHeight="true" outlineLevel="0" collapsed="false">
      <c r="A4" s="6" t="s">
        <v>418</v>
      </c>
      <c r="B4" s="6" t="s">
        <v>419</v>
      </c>
      <c r="C4" s="27" t="s">
        <v>420</v>
      </c>
      <c r="D4" s="27" t="s">
        <v>421</v>
      </c>
      <c r="E4" s="27" t="s">
        <v>422</v>
      </c>
      <c r="F4" s="27" t="s">
        <v>423</v>
      </c>
      <c r="G4" s="27" t="s">
        <v>424</v>
      </c>
      <c r="H4" s="27" t="s">
        <v>425</v>
      </c>
      <c r="I4" s="27" t="s">
        <v>426</v>
      </c>
      <c r="J4" s="27" t="s">
        <v>427</v>
      </c>
      <c r="K4" s="6" t="s">
        <v>428</v>
      </c>
      <c r="L4" s="6" t="s">
        <v>429</v>
      </c>
      <c r="M4" s="6" t="s">
        <v>430</v>
      </c>
    </row>
    <row r="5" customFormat="false" ht="25.35" hidden="false" customHeight="false" outlineLevel="0" collapsed="false">
      <c r="A5" s="50" t="s">
        <v>431</v>
      </c>
      <c r="B5" s="50"/>
      <c r="C5" s="51" t="s">
        <v>21</v>
      </c>
      <c r="D5" s="51" t="s">
        <v>25</v>
      </c>
      <c r="E5" s="51" t="s">
        <v>30</v>
      </c>
      <c r="F5" s="51" t="s">
        <v>35</v>
      </c>
      <c r="G5" s="51" t="s">
        <v>40</v>
      </c>
      <c r="H5" s="51" t="s">
        <v>44</v>
      </c>
      <c r="I5" s="51" t="s">
        <v>49</v>
      </c>
      <c r="J5" s="51" t="s">
        <v>54</v>
      </c>
      <c r="K5" s="50"/>
      <c r="L5" s="50"/>
      <c r="M5" s="50"/>
    </row>
    <row r="6" customFormat="false" ht="15" hidden="false" customHeight="false" outlineLevel="0" collapsed="false">
      <c r="A6" s="23" t="str">
        <f aca="false">IF('참가자 명단'!B6="","",'참가자 명단'!B6)</f>
        <v>dahye</v>
      </c>
      <c r="B6" s="23" t="str">
        <f aca="false">IF('참가자 명단'!H6="","",'참가자 명단'!H6)</f>
        <v/>
      </c>
      <c r="C6" s="23" t="n">
        <f aca="false">IF($A6="","",COUNTIFS('수집 현황'!$B$6:$B$105,$A6,'수집 현황'!$C$6:$C$105,C$5,'수집 현황'!$AA$6:$AA$105,"PASS"))</f>
        <v>0</v>
      </c>
      <c r="D6" s="23" t="n">
        <f aca="false">IF($A6="","",COUNTIFS('수집 현황'!$B$6:$B$105,$A6,'수집 현황'!$C$6:$C$105,D$5,'수집 현황'!$AA$6:$AA$105,"PASS"))</f>
        <v>1</v>
      </c>
      <c r="E6" s="23" t="n">
        <f aca="false">IF($A6="","",COUNTIFS('수집 현황'!$B$6:$B$105,$A6,'수집 현황'!$C$6:$C$105,E$5,'수집 현황'!$AA$6:$AA$105,"PASS"))</f>
        <v>1</v>
      </c>
      <c r="F6" s="23" t="n">
        <f aca="false">IF($A6="","",COUNTIFS('수집 현황'!$B$6:$B$105,$A6,'수집 현황'!$C$6:$C$105,F$5,'수집 현황'!$AA$6:$AA$105,"PASS"))</f>
        <v>1</v>
      </c>
      <c r="G6" s="23" t="n">
        <f aca="false">IF($A6="","",COUNTIFS('수집 현황'!$B$6:$B$105,$A6,'수집 현황'!$C$6:$C$105,G$5,'수집 현황'!$AA$6:$AA$105,"PASS"))</f>
        <v>1</v>
      </c>
      <c r="H6" s="23" t="n">
        <f aca="false">IF($A6="","",COUNTIFS('수집 현황'!$B$6:$B$105,$A6,'수집 현황'!$C$6:$C$105,H$5,'수집 현황'!$AA$6:$AA$105,"PASS"))</f>
        <v>1</v>
      </c>
      <c r="I6" s="23" t="n">
        <f aca="false">IF($A6="","",COUNTIFS('수집 현황'!$B$6:$B$105,$A6,'수집 현황'!$C$6:$C$105,I$5,'수집 현황'!$AA$6:$AA$105,"PASS"))</f>
        <v>1</v>
      </c>
      <c r="J6" s="23" t="n">
        <f aca="false">IF($A6="","",COUNTIFS('수집 현황'!$B$6:$B$105,$A6,'수집 현황'!$C$6:$C$105,J$5,'수집 현황'!$AA$6:$AA$105,"PASS"))</f>
        <v>1</v>
      </c>
      <c r="K6" s="22" t="n">
        <f aca="false">IF($A6="","",SUM(C6:J6))</f>
        <v>7</v>
      </c>
      <c r="L6" s="22" t="n">
        <f aca="false">IF($A6="","",COUNTIF(C6:J6,"&lt;"&amp;$C$3))</f>
        <v>8</v>
      </c>
      <c r="M6" s="21" t="str">
        <f aca="false">IF($A6="","",IF(L6=0,"완료",L6&amp;"종 부족"))</f>
        <v>8종 부족</v>
      </c>
    </row>
    <row r="7" customFormat="false" ht="15" hidden="false" customHeight="false" outlineLevel="0" collapsed="false">
      <c r="A7" s="23" t="str">
        <f aca="false">IF('참가자 명단'!B7="","",'참가자 명단'!B7)</f>
        <v>aro</v>
      </c>
      <c r="B7" s="23" t="str">
        <f aca="false">IF('참가자 명단'!H7="","",'참가자 명단'!H7)</f>
        <v/>
      </c>
      <c r="C7" s="23" t="n">
        <f aca="false">IF($A7="","",COUNTIFS('수집 현황'!$B$6:$B$105,$A7,'수집 현황'!$C$6:$C$105,C$5,'수집 현황'!$AA$6:$AA$105,"PASS"))</f>
        <v>0</v>
      </c>
      <c r="D7" s="23" t="n">
        <f aca="false">IF($A7="","",COUNTIFS('수집 현황'!$B$6:$B$105,$A7,'수집 현황'!$C$6:$C$105,D$5,'수집 현황'!$AA$6:$AA$105,"PASS"))</f>
        <v>1</v>
      </c>
      <c r="E7" s="23" t="n">
        <f aca="false">IF($A7="","",COUNTIFS('수집 현황'!$B$6:$B$105,$A7,'수집 현황'!$C$6:$C$105,E$5,'수집 현황'!$AA$6:$AA$105,"PASS"))</f>
        <v>0</v>
      </c>
      <c r="F7" s="23" t="n">
        <f aca="false">IF($A7="","",COUNTIFS('수집 현황'!$B$6:$B$105,$A7,'수집 현황'!$C$6:$C$105,F$5,'수집 현황'!$AA$6:$AA$105,"PASS"))</f>
        <v>1</v>
      </c>
      <c r="G7" s="23" t="n">
        <f aca="false">IF($A7="","",COUNTIFS('수집 현황'!$B$6:$B$105,$A7,'수집 현황'!$C$6:$C$105,G$5,'수집 현황'!$AA$6:$AA$105,"PASS"))</f>
        <v>1</v>
      </c>
      <c r="H7" s="23" t="n">
        <f aca="false">IF($A7="","",COUNTIFS('수집 현황'!$B$6:$B$105,$A7,'수집 현황'!$C$6:$C$105,H$5,'수집 현황'!$AA$6:$AA$105,"PASS"))</f>
        <v>0</v>
      </c>
      <c r="I7" s="23" t="n">
        <f aca="false">IF($A7="","",COUNTIFS('수집 현황'!$B$6:$B$105,$A7,'수집 현황'!$C$6:$C$105,I$5,'수집 현황'!$AA$6:$AA$105,"PASS"))</f>
        <v>0</v>
      </c>
      <c r="J7" s="23" t="n">
        <f aca="false">IF($A7="","",COUNTIFS('수집 현황'!$B$6:$B$105,$A7,'수집 현황'!$C$6:$C$105,J$5,'수집 현황'!$AA$6:$AA$105,"PASS"))</f>
        <v>0</v>
      </c>
      <c r="K7" s="22" t="n">
        <f aca="false">IF($A7="","",SUM(C7:J7))</f>
        <v>3</v>
      </c>
      <c r="L7" s="22" t="n">
        <f aca="false">IF($A7="","",COUNTIF(C7:J7,"&lt;"&amp;$C$3))</f>
        <v>8</v>
      </c>
      <c r="M7" s="21" t="str">
        <f aca="false">IF($A7="","",IF(L7=0,"완료",L7&amp;"종 부족"))</f>
        <v>8종 부족</v>
      </c>
    </row>
    <row r="8" customFormat="false" ht="15" hidden="false" customHeight="false" outlineLevel="0" collapsed="false">
      <c r="A8" s="23" t="str">
        <f aca="false">IF('참가자 명단'!B8="","",'참가자 명단'!B8)</f>
        <v>yewon</v>
      </c>
      <c r="B8" s="23" t="str">
        <f aca="false">IF('참가자 명단'!H8="","",'참가자 명단'!H8)</f>
        <v/>
      </c>
      <c r="C8" s="23" t="n">
        <f aca="false">IF($A8="","",COUNTIFS('수집 현황'!$B$6:$B$105,$A8,'수집 현황'!$C$6:$C$105,C$5,'수집 현황'!$AA$6:$AA$105,"PASS"))</f>
        <v>1</v>
      </c>
      <c r="D8" s="23" t="n">
        <f aca="false">IF($A8="","",COUNTIFS('수집 현황'!$B$6:$B$105,$A8,'수집 현황'!$C$6:$C$105,D$5,'수집 현황'!$AA$6:$AA$105,"PASS"))</f>
        <v>1</v>
      </c>
      <c r="E8" s="23" t="n">
        <f aca="false">IF($A8="","",COUNTIFS('수집 현황'!$B$6:$B$105,$A8,'수집 현황'!$C$6:$C$105,E$5,'수집 현황'!$AA$6:$AA$105,"PASS"))</f>
        <v>1</v>
      </c>
      <c r="F8" s="23" t="n">
        <f aca="false">IF($A8="","",COUNTIFS('수집 현황'!$B$6:$B$105,$A8,'수집 현황'!$C$6:$C$105,F$5,'수집 현황'!$AA$6:$AA$105,"PASS"))</f>
        <v>1</v>
      </c>
      <c r="G8" s="23" t="n">
        <f aca="false">IF($A8="","",COUNTIFS('수집 현황'!$B$6:$B$105,$A8,'수집 현황'!$C$6:$C$105,G$5,'수집 현황'!$AA$6:$AA$105,"PASS"))</f>
        <v>1</v>
      </c>
      <c r="H8" s="23" t="n">
        <f aca="false">IF($A8="","",COUNTIFS('수집 현황'!$B$6:$B$105,$A8,'수집 현황'!$C$6:$C$105,H$5,'수집 현황'!$AA$6:$AA$105,"PASS"))</f>
        <v>1</v>
      </c>
      <c r="I8" s="23" t="n">
        <f aca="false">IF($A8="","",COUNTIFS('수집 현황'!$B$6:$B$105,$A8,'수집 현황'!$C$6:$C$105,I$5,'수집 현황'!$AA$6:$AA$105,"PASS"))</f>
        <v>1</v>
      </c>
      <c r="J8" s="23" t="n">
        <f aca="false">IF($A8="","",COUNTIFS('수집 현황'!$B$6:$B$105,$A8,'수집 현황'!$C$6:$C$105,J$5,'수집 현황'!$AA$6:$AA$105,"PASS"))</f>
        <v>1</v>
      </c>
      <c r="K8" s="22" t="n">
        <f aca="false">IF($A8="","",SUM(C8:J8))</f>
        <v>8</v>
      </c>
      <c r="L8" s="22" t="n">
        <f aca="false">IF($A8="","",COUNTIF(C8:J8,"&lt;"&amp;$C$3))</f>
        <v>8</v>
      </c>
      <c r="M8" s="21" t="str">
        <f aca="false">IF($A8="","",IF(L8=0,"완료",L8&amp;"종 부족"))</f>
        <v>8종 부족</v>
      </c>
    </row>
    <row r="9" customFormat="false" ht="15" hidden="false" customHeight="false" outlineLevel="0" collapsed="false">
      <c r="A9" s="23" t="str">
        <f aca="false">IF('참가자 명단'!B9="","",'참가자 명단'!B9)</f>
        <v>junseo</v>
      </c>
      <c r="B9" s="23" t="str">
        <f aca="false">IF('참가자 명단'!H9="","",'참가자 명단'!H9)</f>
        <v>M9</v>
      </c>
      <c r="C9" s="23" t="n">
        <f aca="false">IF($A9="","",COUNTIFS('수집 현황'!$B$6:$B$105,$A9,'수집 현황'!$C$6:$C$105,C$5,'수집 현황'!$AA$6:$AA$105,"PASS"))</f>
        <v>1</v>
      </c>
      <c r="D9" s="23" t="n">
        <f aca="false">IF($A9="","",COUNTIFS('수집 현황'!$B$6:$B$105,$A9,'수집 현황'!$C$6:$C$105,D$5,'수집 현황'!$AA$6:$AA$105,"PASS"))</f>
        <v>1</v>
      </c>
      <c r="E9" s="23" t="n">
        <f aca="false">IF($A9="","",COUNTIFS('수집 현황'!$B$6:$B$105,$A9,'수집 현황'!$C$6:$C$105,E$5,'수집 현황'!$AA$6:$AA$105,"PASS"))</f>
        <v>1</v>
      </c>
      <c r="F9" s="23" t="n">
        <f aca="false">IF($A9="","",COUNTIFS('수집 현황'!$B$6:$B$105,$A9,'수집 현황'!$C$6:$C$105,F$5,'수집 현황'!$AA$6:$AA$105,"PASS"))</f>
        <v>1</v>
      </c>
      <c r="G9" s="23" t="n">
        <f aca="false">IF($A9="","",COUNTIFS('수집 현황'!$B$6:$B$105,$A9,'수집 현황'!$C$6:$C$105,G$5,'수집 현황'!$AA$6:$AA$105,"PASS"))</f>
        <v>1</v>
      </c>
      <c r="H9" s="23" t="n">
        <f aca="false">IF($A9="","",COUNTIFS('수집 현황'!$B$6:$B$105,$A9,'수집 현황'!$C$6:$C$105,H$5,'수집 현황'!$AA$6:$AA$105,"PASS"))</f>
        <v>1</v>
      </c>
      <c r="I9" s="23" t="n">
        <f aca="false">IF($A9="","",COUNTIFS('수집 현황'!$B$6:$B$105,$A9,'수집 현황'!$C$6:$C$105,I$5,'수집 현황'!$AA$6:$AA$105,"PASS"))</f>
        <v>1</v>
      </c>
      <c r="J9" s="23" t="n">
        <f aca="false">IF($A9="","",COUNTIFS('수집 현황'!$B$6:$B$105,$A9,'수집 현황'!$C$6:$C$105,J$5,'수집 현황'!$AA$6:$AA$105,"PASS"))</f>
        <v>0</v>
      </c>
      <c r="K9" s="22" t="n">
        <f aca="false">IF($A9="","",SUM(C9:J9))</f>
        <v>7</v>
      </c>
      <c r="L9" s="22" t="n">
        <f aca="false">IF($A9="","",COUNTIF(C9:J9,"&lt;"&amp;$C$3))</f>
        <v>8</v>
      </c>
      <c r="M9" s="21" t="str">
        <f aca="false">IF($A9="","",IF(L9=0,"완료",L9&amp;"종 부족"))</f>
        <v>8종 부족</v>
      </c>
    </row>
    <row r="10" customFormat="false" ht="15" hidden="false" customHeight="false" outlineLevel="0" collapsed="false">
      <c r="A10" s="23" t="str">
        <f aca="false">IF('참가자 명단'!B10="","",'참가자 명단'!B10)</f>
        <v/>
      </c>
      <c r="B10" s="23" t="str">
        <f aca="false">IF('참가자 명단'!H10="","",'참가자 명단'!H10)</f>
        <v/>
      </c>
      <c r="C10" s="23" t="str">
        <f aca="false">IF($A10="","",COUNTIFS('수집 현황'!$B$6:$B$105,$A10,'수집 현황'!$C$6:$C$105,C$5,'수집 현황'!$AA$6:$AA$105,"PASS"))</f>
        <v/>
      </c>
      <c r="D10" s="23" t="str">
        <f aca="false">IF($A10="","",COUNTIFS('수집 현황'!$B$6:$B$105,$A10,'수집 현황'!$C$6:$C$105,D$5,'수집 현황'!$AA$6:$AA$105,"PASS"))</f>
        <v/>
      </c>
      <c r="E10" s="23" t="str">
        <f aca="false">IF($A10="","",COUNTIFS('수집 현황'!$B$6:$B$105,$A10,'수집 현황'!$C$6:$C$105,E$5,'수집 현황'!$AA$6:$AA$105,"PASS"))</f>
        <v/>
      </c>
      <c r="F10" s="23" t="str">
        <f aca="false">IF($A10="","",COUNTIFS('수집 현황'!$B$6:$B$105,$A10,'수집 현황'!$C$6:$C$105,F$5,'수집 현황'!$AA$6:$AA$105,"PASS"))</f>
        <v/>
      </c>
      <c r="G10" s="23" t="str">
        <f aca="false">IF($A10="","",COUNTIFS('수집 현황'!$B$6:$B$105,$A10,'수집 현황'!$C$6:$C$105,G$5,'수집 현황'!$AA$6:$AA$105,"PASS"))</f>
        <v/>
      </c>
      <c r="H10" s="23" t="str">
        <f aca="false">IF($A10="","",COUNTIFS('수집 현황'!$B$6:$B$105,$A10,'수집 현황'!$C$6:$C$105,H$5,'수집 현황'!$AA$6:$AA$105,"PASS"))</f>
        <v/>
      </c>
      <c r="I10" s="23" t="str">
        <f aca="false">IF($A10="","",COUNTIFS('수집 현황'!$B$6:$B$105,$A10,'수집 현황'!$C$6:$C$105,I$5,'수집 현황'!$AA$6:$AA$105,"PASS"))</f>
        <v/>
      </c>
      <c r="J10" s="23" t="str">
        <f aca="false">IF($A10="","",COUNTIFS('수집 현황'!$B$6:$B$105,$A10,'수집 현황'!$C$6:$C$105,J$5,'수집 현황'!$AA$6:$AA$105,"PASS"))</f>
        <v/>
      </c>
      <c r="K10" s="22" t="str">
        <f aca="false">IF($A10="","",SUM(C10:J10))</f>
        <v/>
      </c>
      <c r="L10" s="22" t="str">
        <f aca="false">IF($A10="","",COUNTIF(C10:J10,"&lt;"&amp;$C$3))</f>
        <v/>
      </c>
      <c r="M10" s="21" t="str">
        <f aca="false">IF($A10="","",IF(L10=0,"완료",L10&amp;"종 부족"))</f>
        <v/>
      </c>
    </row>
    <row r="11" customFormat="false" ht="15" hidden="false" customHeight="false" outlineLevel="0" collapsed="false">
      <c r="A11" s="23" t="str">
        <f aca="false">IF('참가자 명단'!B11="","",'참가자 명단'!B11)</f>
        <v/>
      </c>
      <c r="B11" s="23" t="str">
        <f aca="false">IF('참가자 명단'!H11="","",'참가자 명단'!H11)</f>
        <v/>
      </c>
      <c r="C11" s="23" t="str">
        <f aca="false">IF($A11="","",COUNTIFS('수집 현황'!$B$6:$B$105,$A11,'수집 현황'!$C$6:$C$105,C$5,'수집 현황'!$AA$6:$AA$105,"PASS"))</f>
        <v/>
      </c>
      <c r="D11" s="23" t="str">
        <f aca="false">IF($A11="","",COUNTIFS('수집 현황'!$B$6:$B$105,$A11,'수집 현황'!$C$6:$C$105,D$5,'수집 현황'!$AA$6:$AA$105,"PASS"))</f>
        <v/>
      </c>
      <c r="E11" s="23" t="str">
        <f aca="false">IF($A11="","",COUNTIFS('수집 현황'!$B$6:$B$105,$A11,'수집 현황'!$C$6:$C$105,E$5,'수집 현황'!$AA$6:$AA$105,"PASS"))</f>
        <v/>
      </c>
      <c r="F11" s="23" t="str">
        <f aca="false">IF($A11="","",COUNTIFS('수집 현황'!$B$6:$B$105,$A11,'수집 현황'!$C$6:$C$105,F$5,'수집 현황'!$AA$6:$AA$105,"PASS"))</f>
        <v/>
      </c>
      <c r="G11" s="23" t="str">
        <f aca="false">IF($A11="","",COUNTIFS('수집 현황'!$B$6:$B$105,$A11,'수집 현황'!$C$6:$C$105,G$5,'수집 현황'!$AA$6:$AA$105,"PASS"))</f>
        <v/>
      </c>
      <c r="H11" s="23" t="str">
        <f aca="false">IF($A11="","",COUNTIFS('수집 현황'!$B$6:$B$105,$A11,'수집 현황'!$C$6:$C$105,H$5,'수집 현황'!$AA$6:$AA$105,"PASS"))</f>
        <v/>
      </c>
      <c r="I11" s="23" t="str">
        <f aca="false">IF($A11="","",COUNTIFS('수집 현황'!$B$6:$B$105,$A11,'수집 현황'!$C$6:$C$105,I$5,'수집 현황'!$AA$6:$AA$105,"PASS"))</f>
        <v/>
      </c>
      <c r="J11" s="23" t="str">
        <f aca="false">IF($A11="","",COUNTIFS('수집 현황'!$B$6:$B$105,$A11,'수집 현황'!$C$6:$C$105,J$5,'수집 현황'!$AA$6:$AA$105,"PASS"))</f>
        <v/>
      </c>
      <c r="K11" s="22" t="str">
        <f aca="false">IF($A11="","",SUM(C11:J11))</f>
        <v/>
      </c>
      <c r="L11" s="22" t="str">
        <f aca="false">IF($A11="","",COUNTIF(C11:J11,"&lt;"&amp;$C$3))</f>
        <v/>
      </c>
      <c r="M11" s="21" t="str">
        <f aca="false">IF($A11="","",IF(L11=0,"완료",L11&amp;"종 부족"))</f>
        <v/>
      </c>
    </row>
    <row r="12" customFormat="false" ht="15" hidden="false" customHeight="false" outlineLevel="0" collapsed="false">
      <c r="A12" s="23" t="str">
        <f aca="false">IF('참가자 명단'!B12="","",'참가자 명단'!B12)</f>
        <v/>
      </c>
      <c r="B12" s="23" t="str">
        <f aca="false">IF('참가자 명단'!H12="","",'참가자 명단'!H12)</f>
        <v/>
      </c>
      <c r="C12" s="23" t="str">
        <f aca="false">IF($A12="","",COUNTIFS('수집 현황'!$B$6:$B$105,$A12,'수집 현황'!$C$6:$C$105,C$5,'수집 현황'!$AA$6:$AA$105,"PASS"))</f>
        <v/>
      </c>
      <c r="D12" s="23" t="str">
        <f aca="false">IF($A12="","",COUNTIFS('수집 현황'!$B$6:$B$105,$A12,'수집 현황'!$C$6:$C$105,D$5,'수집 현황'!$AA$6:$AA$105,"PASS"))</f>
        <v/>
      </c>
      <c r="E12" s="23" t="str">
        <f aca="false">IF($A12="","",COUNTIFS('수집 현황'!$B$6:$B$105,$A12,'수집 현황'!$C$6:$C$105,E$5,'수집 현황'!$AA$6:$AA$105,"PASS"))</f>
        <v/>
      </c>
      <c r="F12" s="23" t="str">
        <f aca="false">IF($A12="","",COUNTIFS('수집 현황'!$B$6:$B$105,$A12,'수집 현황'!$C$6:$C$105,F$5,'수집 현황'!$AA$6:$AA$105,"PASS"))</f>
        <v/>
      </c>
      <c r="G12" s="23" t="str">
        <f aca="false">IF($A12="","",COUNTIFS('수집 현황'!$B$6:$B$105,$A12,'수집 현황'!$C$6:$C$105,G$5,'수집 현황'!$AA$6:$AA$105,"PASS"))</f>
        <v/>
      </c>
      <c r="H12" s="23" t="str">
        <f aca="false">IF($A12="","",COUNTIFS('수집 현황'!$B$6:$B$105,$A12,'수집 현황'!$C$6:$C$105,H$5,'수집 현황'!$AA$6:$AA$105,"PASS"))</f>
        <v/>
      </c>
      <c r="I12" s="23" t="str">
        <f aca="false">IF($A12="","",COUNTIFS('수집 현황'!$B$6:$B$105,$A12,'수집 현황'!$C$6:$C$105,I$5,'수집 현황'!$AA$6:$AA$105,"PASS"))</f>
        <v/>
      </c>
      <c r="J12" s="23" t="str">
        <f aca="false">IF($A12="","",COUNTIFS('수집 현황'!$B$6:$B$105,$A12,'수집 현황'!$C$6:$C$105,J$5,'수집 현황'!$AA$6:$AA$105,"PASS"))</f>
        <v/>
      </c>
      <c r="K12" s="22" t="str">
        <f aca="false">IF($A12="","",SUM(C12:J12))</f>
        <v/>
      </c>
      <c r="L12" s="22" t="str">
        <f aca="false">IF($A12="","",COUNTIF(C12:J12,"&lt;"&amp;$C$3))</f>
        <v/>
      </c>
      <c r="M12" s="21" t="str">
        <f aca="false">IF($A12="","",IF(L12=0,"완료",L12&amp;"종 부족"))</f>
        <v/>
      </c>
    </row>
    <row r="13" customFormat="false" ht="15" hidden="false" customHeight="false" outlineLevel="0" collapsed="false">
      <c r="A13" s="23" t="str">
        <f aca="false">IF('참가자 명단'!B13="","",'참가자 명단'!B13)</f>
        <v/>
      </c>
      <c r="B13" s="23" t="str">
        <f aca="false">IF('참가자 명단'!H13="","",'참가자 명단'!H13)</f>
        <v/>
      </c>
      <c r="C13" s="23" t="str">
        <f aca="false">IF($A13="","",COUNTIFS('수집 현황'!$B$6:$B$105,$A13,'수집 현황'!$C$6:$C$105,C$5,'수집 현황'!$AA$6:$AA$105,"PASS"))</f>
        <v/>
      </c>
      <c r="D13" s="23" t="str">
        <f aca="false">IF($A13="","",COUNTIFS('수집 현황'!$B$6:$B$105,$A13,'수집 현황'!$C$6:$C$105,D$5,'수집 현황'!$AA$6:$AA$105,"PASS"))</f>
        <v/>
      </c>
      <c r="E13" s="23" t="str">
        <f aca="false">IF($A13="","",COUNTIFS('수집 현황'!$B$6:$B$105,$A13,'수집 현황'!$C$6:$C$105,E$5,'수집 현황'!$AA$6:$AA$105,"PASS"))</f>
        <v/>
      </c>
      <c r="F13" s="23" t="str">
        <f aca="false">IF($A13="","",COUNTIFS('수집 현황'!$B$6:$B$105,$A13,'수집 현황'!$C$6:$C$105,F$5,'수집 현황'!$AA$6:$AA$105,"PASS"))</f>
        <v/>
      </c>
      <c r="G13" s="23" t="str">
        <f aca="false">IF($A13="","",COUNTIFS('수집 현황'!$B$6:$B$105,$A13,'수집 현황'!$C$6:$C$105,G$5,'수집 현황'!$AA$6:$AA$105,"PASS"))</f>
        <v/>
      </c>
      <c r="H13" s="23" t="str">
        <f aca="false">IF($A13="","",COUNTIFS('수집 현황'!$B$6:$B$105,$A13,'수집 현황'!$C$6:$C$105,H$5,'수집 현황'!$AA$6:$AA$105,"PASS"))</f>
        <v/>
      </c>
      <c r="I13" s="23" t="str">
        <f aca="false">IF($A13="","",COUNTIFS('수집 현황'!$B$6:$B$105,$A13,'수집 현황'!$C$6:$C$105,I$5,'수집 현황'!$AA$6:$AA$105,"PASS"))</f>
        <v/>
      </c>
      <c r="J13" s="23" t="str">
        <f aca="false">IF($A13="","",COUNTIFS('수집 현황'!$B$6:$B$105,$A13,'수집 현황'!$C$6:$C$105,J$5,'수집 현황'!$AA$6:$AA$105,"PASS"))</f>
        <v/>
      </c>
      <c r="K13" s="22" t="str">
        <f aca="false">IF($A13="","",SUM(C13:J13))</f>
        <v/>
      </c>
      <c r="L13" s="22" t="str">
        <f aca="false">IF($A13="","",COUNTIF(C13:J13,"&lt;"&amp;$C$3))</f>
        <v/>
      </c>
      <c r="M13" s="21" t="str">
        <f aca="false">IF($A13="","",IF(L13=0,"완료",L13&amp;"종 부족"))</f>
        <v/>
      </c>
    </row>
    <row r="14" customFormat="false" ht="15" hidden="false" customHeight="false" outlineLevel="0" collapsed="false">
      <c r="A14" s="23" t="str">
        <f aca="false">IF('참가자 명단'!B14="","",'참가자 명단'!B14)</f>
        <v/>
      </c>
      <c r="B14" s="23" t="str">
        <f aca="false">IF('참가자 명단'!H14="","",'참가자 명단'!H14)</f>
        <v/>
      </c>
      <c r="C14" s="23" t="str">
        <f aca="false">IF($A14="","",COUNTIFS('수집 현황'!$B$6:$B$105,$A14,'수집 현황'!$C$6:$C$105,C$5,'수집 현황'!$AA$6:$AA$105,"PASS"))</f>
        <v/>
      </c>
      <c r="D14" s="23" t="str">
        <f aca="false">IF($A14="","",COUNTIFS('수집 현황'!$B$6:$B$105,$A14,'수집 현황'!$C$6:$C$105,D$5,'수집 현황'!$AA$6:$AA$105,"PASS"))</f>
        <v/>
      </c>
      <c r="E14" s="23" t="str">
        <f aca="false">IF($A14="","",COUNTIFS('수집 현황'!$B$6:$B$105,$A14,'수집 현황'!$C$6:$C$105,E$5,'수집 현황'!$AA$6:$AA$105,"PASS"))</f>
        <v/>
      </c>
      <c r="F14" s="23" t="str">
        <f aca="false">IF($A14="","",COUNTIFS('수집 현황'!$B$6:$B$105,$A14,'수집 현황'!$C$6:$C$105,F$5,'수집 현황'!$AA$6:$AA$105,"PASS"))</f>
        <v/>
      </c>
      <c r="G14" s="23" t="str">
        <f aca="false">IF($A14="","",COUNTIFS('수집 현황'!$B$6:$B$105,$A14,'수집 현황'!$C$6:$C$105,G$5,'수집 현황'!$AA$6:$AA$105,"PASS"))</f>
        <v/>
      </c>
      <c r="H14" s="23" t="str">
        <f aca="false">IF($A14="","",COUNTIFS('수집 현황'!$B$6:$B$105,$A14,'수집 현황'!$C$6:$C$105,H$5,'수집 현황'!$AA$6:$AA$105,"PASS"))</f>
        <v/>
      </c>
      <c r="I14" s="23" t="str">
        <f aca="false">IF($A14="","",COUNTIFS('수집 현황'!$B$6:$B$105,$A14,'수집 현황'!$C$6:$C$105,I$5,'수집 현황'!$AA$6:$AA$105,"PASS"))</f>
        <v/>
      </c>
      <c r="J14" s="23" t="str">
        <f aca="false">IF($A14="","",COUNTIFS('수집 현황'!$B$6:$B$105,$A14,'수집 현황'!$C$6:$C$105,J$5,'수집 현황'!$AA$6:$AA$105,"PASS"))</f>
        <v/>
      </c>
      <c r="K14" s="22" t="str">
        <f aca="false">IF($A14="","",SUM(C14:J14))</f>
        <v/>
      </c>
      <c r="L14" s="22" t="str">
        <f aca="false">IF($A14="","",COUNTIF(C14:J14,"&lt;"&amp;$C$3))</f>
        <v/>
      </c>
      <c r="M14" s="21" t="str">
        <f aca="false">IF($A14="","",IF(L14=0,"완료",L14&amp;"종 부족"))</f>
        <v/>
      </c>
    </row>
    <row r="15" customFormat="false" ht="15" hidden="false" customHeight="false" outlineLevel="0" collapsed="false">
      <c r="A15" s="23" t="str">
        <f aca="false">IF('참가자 명단'!B15="","",'참가자 명단'!B15)</f>
        <v/>
      </c>
      <c r="B15" s="23" t="str">
        <f aca="false">IF('참가자 명단'!H15="","",'참가자 명단'!H15)</f>
        <v/>
      </c>
      <c r="C15" s="23" t="str">
        <f aca="false">IF($A15="","",COUNTIFS('수집 현황'!$B$6:$B$105,$A15,'수집 현황'!$C$6:$C$105,C$5,'수집 현황'!$AA$6:$AA$105,"PASS"))</f>
        <v/>
      </c>
      <c r="D15" s="23" t="str">
        <f aca="false">IF($A15="","",COUNTIFS('수집 현황'!$B$6:$B$105,$A15,'수집 현황'!$C$6:$C$105,D$5,'수집 현황'!$AA$6:$AA$105,"PASS"))</f>
        <v/>
      </c>
      <c r="E15" s="23" t="str">
        <f aca="false">IF($A15="","",COUNTIFS('수집 현황'!$B$6:$B$105,$A15,'수집 현황'!$C$6:$C$105,E$5,'수집 현황'!$AA$6:$AA$105,"PASS"))</f>
        <v/>
      </c>
      <c r="F15" s="23" t="str">
        <f aca="false">IF($A15="","",COUNTIFS('수집 현황'!$B$6:$B$105,$A15,'수집 현황'!$C$6:$C$105,F$5,'수집 현황'!$AA$6:$AA$105,"PASS"))</f>
        <v/>
      </c>
      <c r="G15" s="23" t="str">
        <f aca="false">IF($A15="","",COUNTIFS('수집 현황'!$B$6:$B$105,$A15,'수집 현황'!$C$6:$C$105,G$5,'수집 현황'!$AA$6:$AA$105,"PASS"))</f>
        <v/>
      </c>
      <c r="H15" s="23" t="str">
        <f aca="false">IF($A15="","",COUNTIFS('수집 현황'!$B$6:$B$105,$A15,'수집 현황'!$C$6:$C$105,H$5,'수집 현황'!$AA$6:$AA$105,"PASS"))</f>
        <v/>
      </c>
      <c r="I15" s="23" t="str">
        <f aca="false">IF($A15="","",COUNTIFS('수집 현황'!$B$6:$B$105,$A15,'수집 현황'!$C$6:$C$105,I$5,'수집 현황'!$AA$6:$AA$105,"PASS"))</f>
        <v/>
      </c>
      <c r="J15" s="23" t="str">
        <f aca="false">IF($A15="","",COUNTIFS('수집 현황'!$B$6:$B$105,$A15,'수집 현황'!$C$6:$C$105,J$5,'수집 현황'!$AA$6:$AA$105,"PASS"))</f>
        <v/>
      </c>
      <c r="K15" s="22" t="str">
        <f aca="false">IF($A15="","",SUM(C15:J15))</f>
        <v/>
      </c>
      <c r="L15" s="22" t="str">
        <f aca="false">IF($A15="","",COUNTIF(C15:J15,"&lt;"&amp;$C$3))</f>
        <v/>
      </c>
      <c r="M15" s="21" t="str">
        <f aca="false">IF($A15="","",IF(L15=0,"완료",L15&amp;"종 부족"))</f>
        <v/>
      </c>
    </row>
    <row r="16" customFormat="false" ht="15" hidden="false" customHeight="false" outlineLevel="0" collapsed="false">
      <c r="A16" s="23" t="str">
        <f aca="false">IF('참가자 명단'!B16="","",'참가자 명단'!B16)</f>
        <v/>
      </c>
      <c r="B16" s="23" t="str">
        <f aca="false">IF('참가자 명단'!H16="","",'참가자 명단'!H16)</f>
        <v/>
      </c>
      <c r="C16" s="23" t="str">
        <f aca="false">IF($A16="","",COUNTIFS('수집 현황'!$B$6:$B$105,$A16,'수집 현황'!$C$6:$C$105,C$5,'수집 현황'!$AA$6:$AA$105,"PASS"))</f>
        <v/>
      </c>
      <c r="D16" s="23" t="str">
        <f aca="false">IF($A16="","",COUNTIFS('수집 현황'!$B$6:$B$105,$A16,'수집 현황'!$C$6:$C$105,D$5,'수집 현황'!$AA$6:$AA$105,"PASS"))</f>
        <v/>
      </c>
      <c r="E16" s="23" t="str">
        <f aca="false">IF($A16="","",COUNTIFS('수집 현황'!$B$6:$B$105,$A16,'수집 현황'!$C$6:$C$105,E$5,'수집 현황'!$AA$6:$AA$105,"PASS"))</f>
        <v/>
      </c>
      <c r="F16" s="23" t="str">
        <f aca="false">IF($A16="","",COUNTIFS('수집 현황'!$B$6:$B$105,$A16,'수집 현황'!$C$6:$C$105,F$5,'수집 현황'!$AA$6:$AA$105,"PASS"))</f>
        <v/>
      </c>
      <c r="G16" s="23" t="str">
        <f aca="false">IF($A16="","",COUNTIFS('수집 현황'!$B$6:$B$105,$A16,'수집 현황'!$C$6:$C$105,G$5,'수집 현황'!$AA$6:$AA$105,"PASS"))</f>
        <v/>
      </c>
      <c r="H16" s="23" t="str">
        <f aca="false">IF($A16="","",COUNTIFS('수집 현황'!$B$6:$B$105,$A16,'수집 현황'!$C$6:$C$105,H$5,'수집 현황'!$AA$6:$AA$105,"PASS"))</f>
        <v/>
      </c>
      <c r="I16" s="23" t="str">
        <f aca="false">IF($A16="","",COUNTIFS('수집 현황'!$B$6:$B$105,$A16,'수집 현황'!$C$6:$C$105,I$5,'수집 현황'!$AA$6:$AA$105,"PASS"))</f>
        <v/>
      </c>
      <c r="J16" s="23" t="str">
        <f aca="false">IF($A16="","",COUNTIFS('수집 현황'!$B$6:$B$105,$A16,'수집 현황'!$C$6:$C$105,J$5,'수집 현황'!$AA$6:$AA$105,"PASS"))</f>
        <v/>
      </c>
      <c r="K16" s="22" t="str">
        <f aca="false">IF($A16="","",SUM(C16:J16))</f>
        <v/>
      </c>
      <c r="L16" s="22" t="str">
        <f aca="false">IF($A16="","",COUNTIF(C16:J16,"&lt;"&amp;$C$3))</f>
        <v/>
      </c>
      <c r="M16" s="21" t="str">
        <f aca="false">IF($A16="","",IF(L16=0,"완료",L16&amp;"종 부족"))</f>
        <v/>
      </c>
    </row>
    <row r="17" customFormat="false" ht="15" hidden="false" customHeight="false" outlineLevel="0" collapsed="false">
      <c r="A17" s="23" t="str">
        <f aca="false">IF('참가자 명단'!B17="","",'참가자 명단'!B17)</f>
        <v/>
      </c>
      <c r="B17" s="23" t="str">
        <f aca="false">IF('참가자 명단'!H17="","",'참가자 명단'!H17)</f>
        <v/>
      </c>
      <c r="C17" s="23" t="str">
        <f aca="false">IF($A17="","",COUNTIFS('수집 현황'!$B$6:$B$105,$A17,'수집 현황'!$C$6:$C$105,C$5,'수집 현황'!$AA$6:$AA$105,"PASS"))</f>
        <v/>
      </c>
      <c r="D17" s="23" t="str">
        <f aca="false">IF($A17="","",COUNTIFS('수집 현황'!$B$6:$B$105,$A17,'수집 현황'!$C$6:$C$105,D$5,'수집 현황'!$AA$6:$AA$105,"PASS"))</f>
        <v/>
      </c>
      <c r="E17" s="23" t="str">
        <f aca="false">IF($A17="","",COUNTIFS('수집 현황'!$B$6:$B$105,$A17,'수집 현황'!$C$6:$C$105,E$5,'수집 현황'!$AA$6:$AA$105,"PASS"))</f>
        <v/>
      </c>
      <c r="F17" s="23" t="str">
        <f aca="false">IF($A17="","",COUNTIFS('수집 현황'!$B$6:$B$105,$A17,'수집 현황'!$C$6:$C$105,F$5,'수집 현황'!$AA$6:$AA$105,"PASS"))</f>
        <v/>
      </c>
      <c r="G17" s="23" t="str">
        <f aca="false">IF($A17="","",COUNTIFS('수집 현황'!$B$6:$B$105,$A17,'수집 현황'!$C$6:$C$105,G$5,'수집 현황'!$AA$6:$AA$105,"PASS"))</f>
        <v/>
      </c>
      <c r="H17" s="23" t="str">
        <f aca="false">IF($A17="","",COUNTIFS('수집 현황'!$B$6:$B$105,$A17,'수집 현황'!$C$6:$C$105,H$5,'수집 현황'!$AA$6:$AA$105,"PASS"))</f>
        <v/>
      </c>
      <c r="I17" s="23" t="str">
        <f aca="false">IF($A17="","",COUNTIFS('수집 현황'!$B$6:$B$105,$A17,'수집 현황'!$C$6:$C$105,I$5,'수집 현황'!$AA$6:$AA$105,"PASS"))</f>
        <v/>
      </c>
      <c r="J17" s="23" t="str">
        <f aca="false">IF($A17="","",COUNTIFS('수집 현황'!$B$6:$B$105,$A17,'수집 현황'!$C$6:$C$105,J$5,'수집 현황'!$AA$6:$AA$105,"PASS"))</f>
        <v/>
      </c>
      <c r="K17" s="22" t="str">
        <f aca="false">IF($A17="","",SUM(C17:J17))</f>
        <v/>
      </c>
      <c r="L17" s="22" t="str">
        <f aca="false">IF($A17="","",COUNTIF(C17:J17,"&lt;"&amp;$C$3))</f>
        <v/>
      </c>
      <c r="M17" s="21" t="str">
        <f aca="false">IF($A17="","",IF(L17=0,"완료",L17&amp;"종 부족"))</f>
        <v/>
      </c>
    </row>
    <row r="18" customFormat="false" ht="15" hidden="false" customHeight="false" outlineLevel="0" collapsed="false">
      <c r="A18" s="23" t="str">
        <f aca="false">IF('참가자 명단'!B18="","",'참가자 명단'!B18)</f>
        <v/>
      </c>
      <c r="B18" s="23" t="str">
        <f aca="false">IF('참가자 명단'!H18="","",'참가자 명단'!H18)</f>
        <v/>
      </c>
      <c r="C18" s="23" t="str">
        <f aca="false">IF($A18="","",COUNTIFS('수집 현황'!$B$6:$B$105,$A18,'수집 현황'!$C$6:$C$105,C$5,'수집 현황'!$AA$6:$AA$105,"PASS"))</f>
        <v/>
      </c>
      <c r="D18" s="23" t="str">
        <f aca="false">IF($A18="","",COUNTIFS('수집 현황'!$B$6:$B$105,$A18,'수집 현황'!$C$6:$C$105,D$5,'수집 현황'!$AA$6:$AA$105,"PASS"))</f>
        <v/>
      </c>
      <c r="E18" s="23" t="str">
        <f aca="false">IF($A18="","",COUNTIFS('수집 현황'!$B$6:$B$105,$A18,'수집 현황'!$C$6:$C$105,E$5,'수집 현황'!$AA$6:$AA$105,"PASS"))</f>
        <v/>
      </c>
      <c r="F18" s="23" t="str">
        <f aca="false">IF($A18="","",COUNTIFS('수집 현황'!$B$6:$B$105,$A18,'수집 현황'!$C$6:$C$105,F$5,'수집 현황'!$AA$6:$AA$105,"PASS"))</f>
        <v/>
      </c>
      <c r="G18" s="23" t="str">
        <f aca="false">IF($A18="","",COUNTIFS('수집 현황'!$B$6:$B$105,$A18,'수집 현황'!$C$6:$C$105,G$5,'수집 현황'!$AA$6:$AA$105,"PASS"))</f>
        <v/>
      </c>
      <c r="H18" s="23" t="str">
        <f aca="false">IF($A18="","",COUNTIFS('수집 현황'!$B$6:$B$105,$A18,'수집 현황'!$C$6:$C$105,H$5,'수집 현황'!$AA$6:$AA$105,"PASS"))</f>
        <v/>
      </c>
      <c r="I18" s="23" t="str">
        <f aca="false">IF($A18="","",COUNTIFS('수집 현황'!$B$6:$B$105,$A18,'수집 현황'!$C$6:$C$105,I$5,'수집 현황'!$AA$6:$AA$105,"PASS"))</f>
        <v/>
      </c>
      <c r="J18" s="23" t="str">
        <f aca="false">IF($A18="","",COUNTIFS('수집 현황'!$B$6:$B$105,$A18,'수집 현황'!$C$6:$C$105,J$5,'수집 현황'!$AA$6:$AA$105,"PASS"))</f>
        <v/>
      </c>
      <c r="K18" s="22" t="str">
        <f aca="false">IF($A18="","",SUM(C18:J18))</f>
        <v/>
      </c>
      <c r="L18" s="22" t="str">
        <f aca="false">IF($A18="","",COUNTIF(C18:J18,"&lt;"&amp;$C$3))</f>
        <v/>
      </c>
      <c r="M18" s="21" t="str">
        <f aca="false">IF($A18="","",IF(L18=0,"완료",L18&amp;"종 부족"))</f>
        <v/>
      </c>
    </row>
    <row r="19" customFormat="false" ht="15" hidden="false" customHeight="false" outlineLevel="0" collapsed="false">
      <c r="A19" s="23" t="str">
        <f aca="false">IF('참가자 명단'!B19="","",'참가자 명단'!B19)</f>
        <v/>
      </c>
      <c r="B19" s="23" t="str">
        <f aca="false">IF('참가자 명단'!H19="","",'참가자 명단'!H19)</f>
        <v/>
      </c>
      <c r="C19" s="23" t="str">
        <f aca="false">IF($A19="","",COUNTIFS('수집 현황'!$B$6:$B$105,$A19,'수집 현황'!$C$6:$C$105,C$5,'수집 현황'!$AA$6:$AA$105,"PASS"))</f>
        <v/>
      </c>
      <c r="D19" s="23" t="str">
        <f aca="false">IF($A19="","",COUNTIFS('수집 현황'!$B$6:$B$105,$A19,'수집 현황'!$C$6:$C$105,D$5,'수집 현황'!$AA$6:$AA$105,"PASS"))</f>
        <v/>
      </c>
      <c r="E19" s="23" t="str">
        <f aca="false">IF($A19="","",COUNTIFS('수집 현황'!$B$6:$B$105,$A19,'수집 현황'!$C$6:$C$105,E$5,'수집 현황'!$AA$6:$AA$105,"PASS"))</f>
        <v/>
      </c>
      <c r="F19" s="23" t="str">
        <f aca="false">IF($A19="","",COUNTIFS('수집 현황'!$B$6:$B$105,$A19,'수집 현황'!$C$6:$C$105,F$5,'수집 현황'!$AA$6:$AA$105,"PASS"))</f>
        <v/>
      </c>
      <c r="G19" s="23" t="str">
        <f aca="false">IF($A19="","",COUNTIFS('수집 현황'!$B$6:$B$105,$A19,'수집 현황'!$C$6:$C$105,G$5,'수집 현황'!$AA$6:$AA$105,"PASS"))</f>
        <v/>
      </c>
      <c r="H19" s="23" t="str">
        <f aca="false">IF($A19="","",COUNTIFS('수집 현황'!$B$6:$B$105,$A19,'수집 현황'!$C$6:$C$105,H$5,'수집 현황'!$AA$6:$AA$105,"PASS"))</f>
        <v/>
      </c>
      <c r="I19" s="23" t="str">
        <f aca="false">IF($A19="","",COUNTIFS('수집 현황'!$B$6:$B$105,$A19,'수집 현황'!$C$6:$C$105,I$5,'수집 현황'!$AA$6:$AA$105,"PASS"))</f>
        <v/>
      </c>
      <c r="J19" s="23" t="str">
        <f aca="false">IF($A19="","",COUNTIFS('수집 현황'!$B$6:$B$105,$A19,'수집 현황'!$C$6:$C$105,J$5,'수집 현황'!$AA$6:$AA$105,"PASS"))</f>
        <v/>
      </c>
      <c r="K19" s="22" t="str">
        <f aca="false">IF($A19="","",SUM(C19:J19))</f>
        <v/>
      </c>
      <c r="L19" s="22" t="str">
        <f aca="false">IF($A19="","",COUNTIF(C19:J19,"&lt;"&amp;$C$3))</f>
        <v/>
      </c>
      <c r="M19" s="21" t="str">
        <f aca="false">IF($A19="","",IF(L19=0,"완료",L19&amp;"종 부족"))</f>
        <v/>
      </c>
    </row>
    <row r="20" customFormat="false" ht="15" hidden="false" customHeight="false" outlineLevel="0" collapsed="false">
      <c r="A20" s="23" t="str">
        <f aca="false">IF('참가자 명단'!B20="","",'참가자 명단'!B20)</f>
        <v/>
      </c>
      <c r="B20" s="23" t="str">
        <f aca="false">IF('참가자 명단'!H20="","",'참가자 명단'!H20)</f>
        <v/>
      </c>
      <c r="C20" s="23" t="str">
        <f aca="false">IF($A20="","",COUNTIFS('수집 현황'!$B$6:$B$105,$A20,'수집 현황'!$C$6:$C$105,C$5,'수집 현황'!$AA$6:$AA$105,"PASS"))</f>
        <v/>
      </c>
      <c r="D20" s="23" t="str">
        <f aca="false">IF($A20="","",COUNTIFS('수집 현황'!$B$6:$B$105,$A20,'수집 현황'!$C$6:$C$105,D$5,'수집 현황'!$AA$6:$AA$105,"PASS"))</f>
        <v/>
      </c>
      <c r="E20" s="23" t="str">
        <f aca="false">IF($A20="","",COUNTIFS('수집 현황'!$B$6:$B$105,$A20,'수집 현황'!$C$6:$C$105,E$5,'수집 현황'!$AA$6:$AA$105,"PASS"))</f>
        <v/>
      </c>
      <c r="F20" s="23" t="str">
        <f aca="false">IF($A20="","",COUNTIFS('수집 현황'!$B$6:$B$105,$A20,'수집 현황'!$C$6:$C$105,F$5,'수집 현황'!$AA$6:$AA$105,"PASS"))</f>
        <v/>
      </c>
      <c r="G20" s="23" t="str">
        <f aca="false">IF($A20="","",COUNTIFS('수집 현황'!$B$6:$B$105,$A20,'수집 현황'!$C$6:$C$105,G$5,'수집 현황'!$AA$6:$AA$105,"PASS"))</f>
        <v/>
      </c>
      <c r="H20" s="23" t="str">
        <f aca="false">IF($A20="","",COUNTIFS('수집 현황'!$B$6:$B$105,$A20,'수집 현황'!$C$6:$C$105,H$5,'수집 현황'!$AA$6:$AA$105,"PASS"))</f>
        <v/>
      </c>
      <c r="I20" s="23" t="str">
        <f aca="false">IF($A20="","",COUNTIFS('수집 현황'!$B$6:$B$105,$A20,'수집 현황'!$C$6:$C$105,I$5,'수집 현황'!$AA$6:$AA$105,"PASS"))</f>
        <v/>
      </c>
      <c r="J20" s="23" t="str">
        <f aca="false">IF($A20="","",COUNTIFS('수집 현황'!$B$6:$B$105,$A20,'수집 현황'!$C$6:$C$105,J$5,'수집 현황'!$AA$6:$AA$105,"PASS"))</f>
        <v/>
      </c>
      <c r="K20" s="22" t="str">
        <f aca="false">IF($A20="","",SUM(C20:J20))</f>
        <v/>
      </c>
      <c r="L20" s="22" t="str">
        <f aca="false">IF($A20="","",COUNTIF(C20:J20,"&lt;"&amp;$C$3))</f>
        <v/>
      </c>
      <c r="M20" s="21" t="str">
        <f aca="false">IF($A20="","",IF(L20=0,"완료",L20&amp;"종 부족"))</f>
        <v/>
      </c>
    </row>
    <row r="21" customFormat="false" ht="15" hidden="false" customHeight="false" outlineLevel="0" collapsed="false">
      <c r="A21" s="23" t="str">
        <f aca="false">IF('참가자 명단'!B21="","",'참가자 명단'!B21)</f>
        <v/>
      </c>
      <c r="B21" s="23" t="str">
        <f aca="false">IF('참가자 명단'!H21="","",'참가자 명단'!H21)</f>
        <v/>
      </c>
      <c r="C21" s="23" t="str">
        <f aca="false">IF($A21="","",COUNTIFS('수집 현황'!$B$6:$B$105,$A21,'수집 현황'!$C$6:$C$105,C$5,'수집 현황'!$AA$6:$AA$105,"PASS"))</f>
        <v/>
      </c>
      <c r="D21" s="23" t="str">
        <f aca="false">IF($A21="","",COUNTIFS('수집 현황'!$B$6:$B$105,$A21,'수집 현황'!$C$6:$C$105,D$5,'수집 현황'!$AA$6:$AA$105,"PASS"))</f>
        <v/>
      </c>
      <c r="E21" s="23" t="str">
        <f aca="false">IF($A21="","",COUNTIFS('수집 현황'!$B$6:$B$105,$A21,'수집 현황'!$C$6:$C$105,E$5,'수집 현황'!$AA$6:$AA$105,"PASS"))</f>
        <v/>
      </c>
      <c r="F21" s="23" t="str">
        <f aca="false">IF($A21="","",COUNTIFS('수집 현황'!$B$6:$B$105,$A21,'수집 현황'!$C$6:$C$105,F$5,'수집 현황'!$AA$6:$AA$105,"PASS"))</f>
        <v/>
      </c>
      <c r="G21" s="23" t="str">
        <f aca="false">IF($A21="","",COUNTIFS('수집 현황'!$B$6:$B$105,$A21,'수집 현황'!$C$6:$C$105,G$5,'수집 현황'!$AA$6:$AA$105,"PASS"))</f>
        <v/>
      </c>
      <c r="H21" s="23" t="str">
        <f aca="false">IF($A21="","",COUNTIFS('수집 현황'!$B$6:$B$105,$A21,'수집 현황'!$C$6:$C$105,H$5,'수집 현황'!$AA$6:$AA$105,"PASS"))</f>
        <v/>
      </c>
      <c r="I21" s="23" t="str">
        <f aca="false">IF($A21="","",COUNTIFS('수집 현황'!$B$6:$B$105,$A21,'수집 현황'!$C$6:$C$105,I$5,'수집 현황'!$AA$6:$AA$105,"PASS"))</f>
        <v/>
      </c>
      <c r="J21" s="23" t="str">
        <f aca="false">IF($A21="","",COUNTIFS('수집 현황'!$B$6:$B$105,$A21,'수집 현황'!$C$6:$C$105,J$5,'수집 현황'!$AA$6:$AA$105,"PASS"))</f>
        <v/>
      </c>
      <c r="K21" s="22" t="str">
        <f aca="false">IF($A21="","",SUM(C21:J21))</f>
        <v/>
      </c>
      <c r="L21" s="22" t="str">
        <f aca="false">IF($A21="","",COUNTIF(C21:J21,"&lt;"&amp;$C$3))</f>
        <v/>
      </c>
      <c r="M21" s="21" t="str">
        <f aca="false">IF($A21="","",IF(L21=0,"완료",L21&amp;"종 부족"))</f>
        <v/>
      </c>
    </row>
    <row r="22" customFormat="false" ht="15" hidden="false" customHeight="false" outlineLevel="0" collapsed="false">
      <c r="A22" s="23" t="str">
        <f aca="false">IF('참가자 명단'!B22="","",'참가자 명단'!B22)</f>
        <v/>
      </c>
      <c r="B22" s="23" t="str">
        <f aca="false">IF('참가자 명단'!H22="","",'참가자 명단'!H22)</f>
        <v/>
      </c>
      <c r="C22" s="23" t="str">
        <f aca="false">IF($A22="","",COUNTIFS('수집 현황'!$B$6:$B$105,$A22,'수집 현황'!$C$6:$C$105,C$5,'수집 현황'!$AA$6:$AA$105,"PASS"))</f>
        <v/>
      </c>
      <c r="D22" s="23" t="str">
        <f aca="false">IF($A22="","",COUNTIFS('수집 현황'!$B$6:$B$105,$A22,'수집 현황'!$C$6:$C$105,D$5,'수집 현황'!$AA$6:$AA$105,"PASS"))</f>
        <v/>
      </c>
      <c r="E22" s="23" t="str">
        <f aca="false">IF($A22="","",COUNTIFS('수집 현황'!$B$6:$B$105,$A22,'수집 현황'!$C$6:$C$105,E$5,'수집 현황'!$AA$6:$AA$105,"PASS"))</f>
        <v/>
      </c>
      <c r="F22" s="23" t="str">
        <f aca="false">IF($A22="","",COUNTIFS('수집 현황'!$B$6:$B$105,$A22,'수집 현황'!$C$6:$C$105,F$5,'수집 현황'!$AA$6:$AA$105,"PASS"))</f>
        <v/>
      </c>
      <c r="G22" s="23" t="str">
        <f aca="false">IF($A22="","",COUNTIFS('수집 현황'!$B$6:$B$105,$A22,'수집 현황'!$C$6:$C$105,G$5,'수집 현황'!$AA$6:$AA$105,"PASS"))</f>
        <v/>
      </c>
      <c r="H22" s="23" t="str">
        <f aca="false">IF($A22="","",COUNTIFS('수집 현황'!$B$6:$B$105,$A22,'수집 현황'!$C$6:$C$105,H$5,'수집 현황'!$AA$6:$AA$105,"PASS"))</f>
        <v/>
      </c>
      <c r="I22" s="23" t="str">
        <f aca="false">IF($A22="","",COUNTIFS('수집 현황'!$B$6:$B$105,$A22,'수집 현황'!$C$6:$C$105,I$5,'수집 현황'!$AA$6:$AA$105,"PASS"))</f>
        <v/>
      </c>
      <c r="J22" s="23" t="str">
        <f aca="false">IF($A22="","",COUNTIFS('수집 현황'!$B$6:$B$105,$A22,'수집 현황'!$C$6:$C$105,J$5,'수집 현황'!$AA$6:$AA$105,"PASS"))</f>
        <v/>
      </c>
      <c r="K22" s="22" t="str">
        <f aca="false">IF($A22="","",SUM(C22:J22))</f>
        <v/>
      </c>
      <c r="L22" s="22" t="str">
        <f aca="false">IF($A22="","",COUNTIF(C22:J22,"&lt;"&amp;$C$3))</f>
        <v/>
      </c>
      <c r="M22" s="21" t="str">
        <f aca="false">IF($A22="","",IF(L22=0,"완료",L22&amp;"종 부족"))</f>
        <v/>
      </c>
    </row>
    <row r="23" customFormat="false" ht="15" hidden="false" customHeight="false" outlineLevel="0" collapsed="false">
      <c r="A23" s="23" t="str">
        <f aca="false">IF('참가자 명단'!B23="","",'참가자 명단'!B23)</f>
        <v/>
      </c>
      <c r="B23" s="23" t="str">
        <f aca="false">IF('참가자 명단'!H23="","",'참가자 명단'!H23)</f>
        <v/>
      </c>
      <c r="C23" s="23" t="str">
        <f aca="false">IF($A23="","",COUNTIFS('수집 현황'!$B$6:$B$105,$A23,'수집 현황'!$C$6:$C$105,C$5,'수집 현황'!$AA$6:$AA$105,"PASS"))</f>
        <v/>
      </c>
      <c r="D23" s="23" t="str">
        <f aca="false">IF($A23="","",COUNTIFS('수집 현황'!$B$6:$B$105,$A23,'수집 현황'!$C$6:$C$105,D$5,'수집 현황'!$AA$6:$AA$105,"PASS"))</f>
        <v/>
      </c>
      <c r="E23" s="23" t="str">
        <f aca="false">IF($A23="","",COUNTIFS('수집 현황'!$B$6:$B$105,$A23,'수집 현황'!$C$6:$C$105,E$5,'수집 현황'!$AA$6:$AA$105,"PASS"))</f>
        <v/>
      </c>
      <c r="F23" s="23" t="str">
        <f aca="false">IF($A23="","",COUNTIFS('수집 현황'!$B$6:$B$105,$A23,'수집 현황'!$C$6:$C$105,F$5,'수집 현황'!$AA$6:$AA$105,"PASS"))</f>
        <v/>
      </c>
      <c r="G23" s="23" t="str">
        <f aca="false">IF($A23="","",COUNTIFS('수집 현황'!$B$6:$B$105,$A23,'수집 현황'!$C$6:$C$105,G$5,'수집 현황'!$AA$6:$AA$105,"PASS"))</f>
        <v/>
      </c>
      <c r="H23" s="23" t="str">
        <f aca="false">IF($A23="","",COUNTIFS('수집 현황'!$B$6:$B$105,$A23,'수집 현황'!$C$6:$C$105,H$5,'수집 현황'!$AA$6:$AA$105,"PASS"))</f>
        <v/>
      </c>
      <c r="I23" s="23" t="str">
        <f aca="false">IF($A23="","",COUNTIFS('수집 현황'!$B$6:$B$105,$A23,'수집 현황'!$C$6:$C$105,I$5,'수집 현황'!$AA$6:$AA$105,"PASS"))</f>
        <v/>
      </c>
      <c r="J23" s="23" t="str">
        <f aca="false">IF($A23="","",COUNTIFS('수집 현황'!$B$6:$B$105,$A23,'수집 현황'!$C$6:$C$105,J$5,'수집 현황'!$AA$6:$AA$105,"PASS"))</f>
        <v/>
      </c>
      <c r="K23" s="22" t="str">
        <f aca="false">IF($A23="","",SUM(C23:J23))</f>
        <v/>
      </c>
      <c r="L23" s="22" t="str">
        <f aca="false">IF($A23="","",COUNTIF(C23:J23,"&lt;"&amp;$C$3))</f>
        <v/>
      </c>
      <c r="M23" s="21" t="str">
        <f aca="false">IF($A23="","",IF(L23=0,"완료",L23&amp;"종 부족"))</f>
        <v/>
      </c>
    </row>
    <row r="24" customFormat="false" ht="15" hidden="false" customHeight="false" outlineLevel="0" collapsed="false">
      <c r="A24" s="23" t="str">
        <f aca="false">IF('참가자 명단'!B24="","",'참가자 명단'!B24)</f>
        <v/>
      </c>
      <c r="B24" s="23" t="str">
        <f aca="false">IF('참가자 명단'!H24="","",'참가자 명단'!H24)</f>
        <v/>
      </c>
      <c r="C24" s="23" t="str">
        <f aca="false">IF($A24="","",COUNTIFS('수집 현황'!$B$6:$B$105,$A24,'수집 현황'!$C$6:$C$105,C$5,'수집 현황'!$AA$6:$AA$105,"PASS"))</f>
        <v/>
      </c>
      <c r="D24" s="23" t="str">
        <f aca="false">IF($A24="","",COUNTIFS('수집 현황'!$B$6:$B$105,$A24,'수집 현황'!$C$6:$C$105,D$5,'수집 현황'!$AA$6:$AA$105,"PASS"))</f>
        <v/>
      </c>
      <c r="E24" s="23" t="str">
        <f aca="false">IF($A24="","",COUNTIFS('수집 현황'!$B$6:$B$105,$A24,'수집 현황'!$C$6:$C$105,E$5,'수집 현황'!$AA$6:$AA$105,"PASS"))</f>
        <v/>
      </c>
      <c r="F24" s="23" t="str">
        <f aca="false">IF($A24="","",COUNTIFS('수집 현황'!$B$6:$B$105,$A24,'수집 현황'!$C$6:$C$105,F$5,'수집 현황'!$AA$6:$AA$105,"PASS"))</f>
        <v/>
      </c>
      <c r="G24" s="23" t="str">
        <f aca="false">IF($A24="","",COUNTIFS('수집 현황'!$B$6:$B$105,$A24,'수집 현황'!$C$6:$C$105,G$5,'수집 현황'!$AA$6:$AA$105,"PASS"))</f>
        <v/>
      </c>
      <c r="H24" s="23" t="str">
        <f aca="false">IF($A24="","",COUNTIFS('수집 현황'!$B$6:$B$105,$A24,'수집 현황'!$C$6:$C$105,H$5,'수집 현황'!$AA$6:$AA$105,"PASS"))</f>
        <v/>
      </c>
      <c r="I24" s="23" t="str">
        <f aca="false">IF($A24="","",COUNTIFS('수집 현황'!$B$6:$B$105,$A24,'수집 현황'!$C$6:$C$105,I$5,'수집 현황'!$AA$6:$AA$105,"PASS"))</f>
        <v/>
      </c>
      <c r="J24" s="23" t="str">
        <f aca="false">IF($A24="","",COUNTIFS('수집 현황'!$B$6:$B$105,$A24,'수집 현황'!$C$6:$C$105,J$5,'수집 현황'!$AA$6:$AA$105,"PASS"))</f>
        <v/>
      </c>
      <c r="K24" s="22" t="str">
        <f aca="false">IF($A24="","",SUM(C24:J24))</f>
        <v/>
      </c>
      <c r="L24" s="22" t="str">
        <f aca="false">IF($A24="","",COUNTIF(C24:J24,"&lt;"&amp;$C$3))</f>
        <v/>
      </c>
      <c r="M24" s="21" t="str">
        <f aca="false">IF($A24="","",IF(L24=0,"완료",L24&amp;"종 부족"))</f>
        <v/>
      </c>
    </row>
    <row r="25" customFormat="false" ht="15" hidden="false" customHeight="false" outlineLevel="0" collapsed="false">
      <c r="A25" s="23" t="str">
        <f aca="false">IF('참가자 명단'!B25="","",'참가자 명단'!B25)</f>
        <v/>
      </c>
      <c r="B25" s="23" t="str">
        <f aca="false">IF('참가자 명단'!H25="","",'참가자 명단'!H25)</f>
        <v/>
      </c>
      <c r="C25" s="23" t="str">
        <f aca="false">IF($A25="","",COUNTIFS('수집 현황'!$B$6:$B$105,$A25,'수집 현황'!$C$6:$C$105,C$5,'수집 현황'!$AA$6:$AA$105,"PASS"))</f>
        <v/>
      </c>
      <c r="D25" s="23" t="str">
        <f aca="false">IF($A25="","",COUNTIFS('수집 현황'!$B$6:$B$105,$A25,'수집 현황'!$C$6:$C$105,D$5,'수집 현황'!$AA$6:$AA$105,"PASS"))</f>
        <v/>
      </c>
      <c r="E25" s="23" t="str">
        <f aca="false">IF($A25="","",COUNTIFS('수집 현황'!$B$6:$B$105,$A25,'수집 현황'!$C$6:$C$105,E$5,'수집 현황'!$AA$6:$AA$105,"PASS"))</f>
        <v/>
      </c>
      <c r="F25" s="23" t="str">
        <f aca="false">IF($A25="","",COUNTIFS('수집 현황'!$B$6:$B$105,$A25,'수집 현황'!$C$6:$C$105,F$5,'수집 현황'!$AA$6:$AA$105,"PASS"))</f>
        <v/>
      </c>
      <c r="G25" s="23" t="str">
        <f aca="false">IF($A25="","",COUNTIFS('수집 현황'!$B$6:$B$105,$A25,'수집 현황'!$C$6:$C$105,G$5,'수집 현황'!$AA$6:$AA$105,"PASS"))</f>
        <v/>
      </c>
      <c r="H25" s="23" t="str">
        <f aca="false">IF($A25="","",COUNTIFS('수집 현황'!$B$6:$B$105,$A25,'수집 현황'!$C$6:$C$105,H$5,'수집 현황'!$AA$6:$AA$105,"PASS"))</f>
        <v/>
      </c>
      <c r="I25" s="23" t="str">
        <f aca="false">IF($A25="","",COUNTIFS('수집 현황'!$B$6:$B$105,$A25,'수집 현황'!$C$6:$C$105,I$5,'수집 현황'!$AA$6:$AA$105,"PASS"))</f>
        <v/>
      </c>
      <c r="J25" s="23" t="str">
        <f aca="false">IF($A25="","",COUNTIFS('수집 현황'!$B$6:$B$105,$A25,'수집 현황'!$C$6:$C$105,J$5,'수집 현황'!$AA$6:$AA$105,"PASS"))</f>
        <v/>
      </c>
      <c r="K25" s="22" t="str">
        <f aca="false">IF($A25="","",SUM(C25:J25))</f>
        <v/>
      </c>
      <c r="L25" s="22" t="str">
        <f aca="false">IF($A25="","",COUNTIF(C25:J25,"&lt;"&amp;$C$3))</f>
        <v/>
      </c>
      <c r="M25" s="21" t="str">
        <f aca="false">IF($A25="","",IF(L25=0,"완료",L25&amp;"종 부족"))</f>
        <v/>
      </c>
    </row>
    <row r="26" customFormat="false" ht="15" hidden="false" customHeight="false" outlineLevel="0" collapsed="false">
      <c r="A26" s="23" t="str">
        <f aca="false">IF('참가자 명단'!B26="","",'참가자 명단'!B26)</f>
        <v/>
      </c>
      <c r="B26" s="23" t="str">
        <f aca="false">IF('참가자 명단'!H26="","",'참가자 명단'!H26)</f>
        <v/>
      </c>
      <c r="C26" s="23" t="str">
        <f aca="false">IF($A26="","",COUNTIFS('수집 현황'!$B$6:$B$105,$A26,'수집 현황'!$C$6:$C$105,C$5,'수집 현황'!$AA$6:$AA$105,"PASS"))</f>
        <v/>
      </c>
      <c r="D26" s="23" t="str">
        <f aca="false">IF($A26="","",COUNTIFS('수집 현황'!$B$6:$B$105,$A26,'수집 현황'!$C$6:$C$105,D$5,'수집 현황'!$AA$6:$AA$105,"PASS"))</f>
        <v/>
      </c>
      <c r="E26" s="23" t="str">
        <f aca="false">IF($A26="","",COUNTIFS('수집 현황'!$B$6:$B$105,$A26,'수집 현황'!$C$6:$C$105,E$5,'수집 현황'!$AA$6:$AA$105,"PASS"))</f>
        <v/>
      </c>
      <c r="F26" s="23" t="str">
        <f aca="false">IF($A26="","",COUNTIFS('수집 현황'!$B$6:$B$105,$A26,'수집 현황'!$C$6:$C$105,F$5,'수집 현황'!$AA$6:$AA$105,"PASS"))</f>
        <v/>
      </c>
      <c r="G26" s="23" t="str">
        <f aca="false">IF($A26="","",COUNTIFS('수집 현황'!$B$6:$B$105,$A26,'수집 현황'!$C$6:$C$105,G$5,'수집 현황'!$AA$6:$AA$105,"PASS"))</f>
        <v/>
      </c>
      <c r="H26" s="23" t="str">
        <f aca="false">IF($A26="","",COUNTIFS('수집 현황'!$B$6:$B$105,$A26,'수집 현황'!$C$6:$C$105,H$5,'수집 현황'!$AA$6:$AA$105,"PASS"))</f>
        <v/>
      </c>
      <c r="I26" s="23" t="str">
        <f aca="false">IF($A26="","",COUNTIFS('수집 현황'!$B$6:$B$105,$A26,'수집 현황'!$C$6:$C$105,I$5,'수집 현황'!$AA$6:$AA$105,"PASS"))</f>
        <v/>
      </c>
      <c r="J26" s="23" t="str">
        <f aca="false">IF($A26="","",COUNTIFS('수집 현황'!$B$6:$B$105,$A26,'수집 현황'!$C$6:$C$105,J$5,'수집 현황'!$AA$6:$AA$105,"PASS"))</f>
        <v/>
      </c>
      <c r="K26" s="22" t="str">
        <f aca="false">IF($A26="","",SUM(C26:J26))</f>
        <v/>
      </c>
      <c r="L26" s="22" t="str">
        <f aca="false">IF($A26="","",COUNTIF(C26:J26,"&lt;"&amp;$C$3))</f>
        <v/>
      </c>
      <c r="M26" s="21" t="str">
        <f aca="false">IF($A26="","",IF(L26=0,"완료",L26&amp;"종 부족"))</f>
        <v/>
      </c>
    </row>
    <row r="27" customFormat="false" ht="15" hidden="false" customHeight="false" outlineLevel="0" collapsed="false">
      <c r="A27" s="23" t="str">
        <f aca="false">IF('참가자 명단'!B27="","",'참가자 명단'!B27)</f>
        <v/>
      </c>
      <c r="B27" s="23" t="str">
        <f aca="false">IF('참가자 명단'!H27="","",'참가자 명단'!H27)</f>
        <v/>
      </c>
      <c r="C27" s="23" t="str">
        <f aca="false">IF($A27="","",COUNTIFS('수집 현황'!$B$6:$B$105,$A27,'수집 현황'!$C$6:$C$105,C$5,'수집 현황'!$AA$6:$AA$105,"PASS"))</f>
        <v/>
      </c>
      <c r="D27" s="23" t="str">
        <f aca="false">IF($A27="","",COUNTIFS('수집 현황'!$B$6:$B$105,$A27,'수집 현황'!$C$6:$C$105,D$5,'수집 현황'!$AA$6:$AA$105,"PASS"))</f>
        <v/>
      </c>
      <c r="E27" s="23" t="str">
        <f aca="false">IF($A27="","",COUNTIFS('수집 현황'!$B$6:$B$105,$A27,'수집 현황'!$C$6:$C$105,E$5,'수집 현황'!$AA$6:$AA$105,"PASS"))</f>
        <v/>
      </c>
      <c r="F27" s="23" t="str">
        <f aca="false">IF($A27="","",COUNTIFS('수집 현황'!$B$6:$B$105,$A27,'수집 현황'!$C$6:$C$105,F$5,'수집 현황'!$AA$6:$AA$105,"PASS"))</f>
        <v/>
      </c>
      <c r="G27" s="23" t="str">
        <f aca="false">IF($A27="","",COUNTIFS('수집 현황'!$B$6:$B$105,$A27,'수집 현황'!$C$6:$C$105,G$5,'수집 현황'!$AA$6:$AA$105,"PASS"))</f>
        <v/>
      </c>
      <c r="H27" s="23" t="str">
        <f aca="false">IF($A27="","",COUNTIFS('수집 현황'!$B$6:$B$105,$A27,'수집 현황'!$C$6:$C$105,H$5,'수집 현황'!$AA$6:$AA$105,"PASS"))</f>
        <v/>
      </c>
      <c r="I27" s="23" t="str">
        <f aca="false">IF($A27="","",COUNTIFS('수집 현황'!$B$6:$B$105,$A27,'수집 현황'!$C$6:$C$105,I$5,'수집 현황'!$AA$6:$AA$105,"PASS"))</f>
        <v/>
      </c>
      <c r="J27" s="23" t="str">
        <f aca="false">IF($A27="","",COUNTIFS('수집 현황'!$B$6:$B$105,$A27,'수집 현황'!$C$6:$C$105,J$5,'수집 현황'!$AA$6:$AA$105,"PASS"))</f>
        <v/>
      </c>
      <c r="K27" s="22" t="str">
        <f aca="false">IF($A27="","",SUM(C27:J27))</f>
        <v/>
      </c>
      <c r="L27" s="22" t="str">
        <f aca="false">IF($A27="","",COUNTIF(C27:J27,"&lt;"&amp;$C$3))</f>
        <v/>
      </c>
      <c r="M27" s="21" t="str">
        <f aca="false">IF($A27="","",IF(L27=0,"완료",L27&amp;"종 부족"))</f>
        <v/>
      </c>
    </row>
    <row r="28" customFormat="false" ht="15" hidden="false" customHeight="false" outlineLevel="0" collapsed="false">
      <c r="A28" s="23" t="str">
        <f aca="false">IF('참가자 명단'!B28="","",'참가자 명단'!B28)</f>
        <v/>
      </c>
      <c r="B28" s="23" t="str">
        <f aca="false">IF('참가자 명단'!H28="","",'참가자 명단'!H28)</f>
        <v/>
      </c>
      <c r="C28" s="23" t="str">
        <f aca="false">IF($A28="","",COUNTIFS('수집 현황'!$B$6:$B$105,$A28,'수집 현황'!$C$6:$C$105,C$5,'수집 현황'!$AA$6:$AA$105,"PASS"))</f>
        <v/>
      </c>
      <c r="D28" s="23" t="str">
        <f aca="false">IF($A28="","",COUNTIFS('수집 현황'!$B$6:$B$105,$A28,'수집 현황'!$C$6:$C$105,D$5,'수집 현황'!$AA$6:$AA$105,"PASS"))</f>
        <v/>
      </c>
      <c r="E28" s="23" t="str">
        <f aca="false">IF($A28="","",COUNTIFS('수집 현황'!$B$6:$B$105,$A28,'수집 현황'!$C$6:$C$105,E$5,'수집 현황'!$AA$6:$AA$105,"PASS"))</f>
        <v/>
      </c>
      <c r="F28" s="23" t="str">
        <f aca="false">IF($A28="","",COUNTIFS('수집 현황'!$B$6:$B$105,$A28,'수집 현황'!$C$6:$C$105,F$5,'수집 현황'!$AA$6:$AA$105,"PASS"))</f>
        <v/>
      </c>
      <c r="G28" s="23" t="str">
        <f aca="false">IF($A28="","",COUNTIFS('수집 현황'!$B$6:$B$105,$A28,'수집 현황'!$C$6:$C$105,G$5,'수집 현황'!$AA$6:$AA$105,"PASS"))</f>
        <v/>
      </c>
      <c r="H28" s="23" t="str">
        <f aca="false">IF($A28="","",COUNTIFS('수집 현황'!$B$6:$B$105,$A28,'수집 현황'!$C$6:$C$105,H$5,'수집 현황'!$AA$6:$AA$105,"PASS"))</f>
        <v/>
      </c>
      <c r="I28" s="23" t="str">
        <f aca="false">IF($A28="","",COUNTIFS('수집 현황'!$B$6:$B$105,$A28,'수집 현황'!$C$6:$C$105,I$5,'수집 현황'!$AA$6:$AA$105,"PASS"))</f>
        <v/>
      </c>
      <c r="J28" s="23" t="str">
        <f aca="false">IF($A28="","",COUNTIFS('수집 현황'!$B$6:$B$105,$A28,'수집 현황'!$C$6:$C$105,J$5,'수집 현황'!$AA$6:$AA$105,"PASS"))</f>
        <v/>
      </c>
      <c r="K28" s="22" t="str">
        <f aca="false">IF($A28="","",SUM(C28:J28))</f>
        <v/>
      </c>
      <c r="L28" s="22" t="str">
        <f aca="false">IF($A28="","",COUNTIF(C28:J28,"&lt;"&amp;$C$3))</f>
        <v/>
      </c>
      <c r="M28" s="21" t="str">
        <f aca="false">IF($A28="","",IF(L28=0,"완료",L28&amp;"종 부족"))</f>
        <v/>
      </c>
    </row>
    <row r="29" customFormat="false" ht="15" hidden="false" customHeight="false" outlineLevel="0" collapsed="false">
      <c r="A29" s="23" t="str">
        <f aca="false">IF('참가자 명단'!B29="","",'참가자 명단'!B29)</f>
        <v/>
      </c>
      <c r="B29" s="23" t="str">
        <f aca="false">IF('참가자 명단'!H29="","",'참가자 명단'!H29)</f>
        <v/>
      </c>
      <c r="C29" s="23" t="str">
        <f aca="false">IF($A29="","",COUNTIFS('수집 현황'!$B$6:$B$105,$A29,'수집 현황'!$C$6:$C$105,C$5,'수집 현황'!$AA$6:$AA$105,"PASS"))</f>
        <v/>
      </c>
      <c r="D29" s="23" t="str">
        <f aca="false">IF($A29="","",COUNTIFS('수집 현황'!$B$6:$B$105,$A29,'수집 현황'!$C$6:$C$105,D$5,'수집 현황'!$AA$6:$AA$105,"PASS"))</f>
        <v/>
      </c>
      <c r="E29" s="23" t="str">
        <f aca="false">IF($A29="","",COUNTIFS('수집 현황'!$B$6:$B$105,$A29,'수집 현황'!$C$6:$C$105,E$5,'수집 현황'!$AA$6:$AA$105,"PASS"))</f>
        <v/>
      </c>
      <c r="F29" s="23" t="str">
        <f aca="false">IF($A29="","",COUNTIFS('수집 현황'!$B$6:$B$105,$A29,'수집 현황'!$C$6:$C$105,F$5,'수집 현황'!$AA$6:$AA$105,"PASS"))</f>
        <v/>
      </c>
      <c r="G29" s="23" t="str">
        <f aca="false">IF($A29="","",COUNTIFS('수집 현황'!$B$6:$B$105,$A29,'수집 현황'!$C$6:$C$105,G$5,'수집 현황'!$AA$6:$AA$105,"PASS"))</f>
        <v/>
      </c>
      <c r="H29" s="23" t="str">
        <f aca="false">IF($A29="","",COUNTIFS('수집 현황'!$B$6:$B$105,$A29,'수집 현황'!$C$6:$C$105,H$5,'수집 현황'!$AA$6:$AA$105,"PASS"))</f>
        <v/>
      </c>
      <c r="I29" s="23" t="str">
        <f aca="false">IF($A29="","",COUNTIFS('수집 현황'!$B$6:$B$105,$A29,'수집 현황'!$C$6:$C$105,I$5,'수집 현황'!$AA$6:$AA$105,"PASS"))</f>
        <v/>
      </c>
      <c r="J29" s="23" t="str">
        <f aca="false">IF($A29="","",COUNTIFS('수집 현황'!$B$6:$B$105,$A29,'수집 현황'!$C$6:$C$105,J$5,'수집 현황'!$AA$6:$AA$105,"PASS"))</f>
        <v/>
      </c>
      <c r="K29" s="22" t="str">
        <f aca="false">IF($A29="","",SUM(C29:J29))</f>
        <v/>
      </c>
      <c r="L29" s="22" t="str">
        <f aca="false">IF($A29="","",COUNTIF(C29:J29,"&lt;"&amp;$C$3))</f>
        <v/>
      </c>
      <c r="M29" s="21" t="str">
        <f aca="false">IF($A29="","",IF(L29=0,"완료",L29&amp;"종 부족"))</f>
        <v/>
      </c>
    </row>
    <row r="30" customFormat="false" ht="15" hidden="false" customHeight="false" outlineLevel="0" collapsed="false">
      <c r="A30" s="23" t="str">
        <f aca="false">IF('참가자 명단'!B30="","",'참가자 명단'!B30)</f>
        <v/>
      </c>
      <c r="B30" s="23" t="str">
        <f aca="false">IF('참가자 명단'!H30="","",'참가자 명단'!H30)</f>
        <v/>
      </c>
      <c r="C30" s="23" t="str">
        <f aca="false">IF($A30="","",COUNTIFS('수집 현황'!$B$6:$B$105,$A30,'수집 현황'!$C$6:$C$105,C$5,'수집 현황'!$AA$6:$AA$105,"PASS"))</f>
        <v/>
      </c>
      <c r="D30" s="23" t="str">
        <f aca="false">IF($A30="","",COUNTIFS('수집 현황'!$B$6:$B$105,$A30,'수집 현황'!$C$6:$C$105,D$5,'수집 현황'!$AA$6:$AA$105,"PASS"))</f>
        <v/>
      </c>
      <c r="E30" s="23" t="str">
        <f aca="false">IF($A30="","",COUNTIFS('수집 현황'!$B$6:$B$105,$A30,'수집 현황'!$C$6:$C$105,E$5,'수집 현황'!$AA$6:$AA$105,"PASS"))</f>
        <v/>
      </c>
      <c r="F30" s="23" t="str">
        <f aca="false">IF($A30="","",COUNTIFS('수집 현황'!$B$6:$B$105,$A30,'수집 현황'!$C$6:$C$105,F$5,'수집 현황'!$AA$6:$AA$105,"PASS"))</f>
        <v/>
      </c>
      <c r="G30" s="23" t="str">
        <f aca="false">IF($A30="","",COUNTIFS('수집 현황'!$B$6:$B$105,$A30,'수집 현황'!$C$6:$C$105,G$5,'수집 현황'!$AA$6:$AA$105,"PASS"))</f>
        <v/>
      </c>
      <c r="H30" s="23" t="str">
        <f aca="false">IF($A30="","",COUNTIFS('수집 현황'!$B$6:$B$105,$A30,'수집 현황'!$C$6:$C$105,H$5,'수집 현황'!$AA$6:$AA$105,"PASS"))</f>
        <v/>
      </c>
      <c r="I30" s="23" t="str">
        <f aca="false">IF($A30="","",COUNTIFS('수집 현황'!$B$6:$B$105,$A30,'수집 현황'!$C$6:$C$105,I$5,'수집 현황'!$AA$6:$AA$105,"PASS"))</f>
        <v/>
      </c>
      <c r="J30" s="23" t="str">
        <f aca="false">IF($A30="","",COUNTIFS('수집 현황'!$B$6:$B$105,$A30,'수집 현황'!$C$6:$C$105,J$5,'수집 현황'!$AA$6:$AA$105,"PASS"))</f>
        <v/>
      </c>
      <c r="K30" s="22" t="str">
        <f aca="false">IF($A30="","",SUM(C30:J30))</f>
        <v/>
      </c>
      <c r="L30" s="22" t="str">
        <f aca="false">IF($A30="","",COUNTIF(C30:J30,"&lt;"&amp;$C$3))</f>
        <v/>
      </c>
      <c r="M30" s="21" t="str">
        <f aca="false">IF($A30="","",IF(L30=0,"완료",L30&amp;"종 부족"))</f>
        <v/>
      </c>
    </row>
    <row r="31" customFormat="false" ht="15" hidden="false" customHeight="false" outlineLevel="0" collapsed="false">
      <c r="A31" s="23" t="str">
        <f aca="false">IF('참가자 명단'!B31="","",'참가자 명단'!B31)</f>
        <v/>
      </c>
      <c r="B31" s="23" t="str">
        <f aca="false">IF('참가자 명단'!H31="","",'참가자 명단'!H31)</f>
        <v/>
      </c>
      <c r="C31" s="23" t="str">
        <f aca="false">IF($A31="","",COUNTIFS('수집 현황'!$B$6:$B$105,$A31,'수집 현황'!$C$6:$C$105,C$5,'수집 현황'!$AA$6:$AA$105,"PASS"))</f>
        <v/>
      </c>
      <c r="D31" s="23" t="str">
        <f aca="false">IF($A31="","",COUNTIFS('수집 현황'!$B$6:$B$105,$A31,'수집 현황'!$C$6:$C$105,D$5,'수집 현황'!$AA$6:$AA$105,"PASS"))</f>
        <v/>
      </c>
      <c r="E31" s="23" t="str">
        <f aca="false">IF($A31="","",COUNTIFS('수집 현황'!$B$6:$B$105,$A31,'수집 현황'!$C$6:$C$105,E$5,'수집 현황'!$AA$6:$AA$105,"PASS"))</f>
        <v/>
      </c>
      <c r="F31" s="23" t="str">
        <f aca="false">IF($A31="","",COUNTIFS('수집 현황'!$B$6:$B$105,$A31,'수집 현황'!$C$6:$C$105,F$5,'수집 현황'!$AA$6:$AA$105,"PASS"))</f>
        <v/>
      </c>
      <c r="G31" s="23" t="str">
        <f aca="false">IF($A31="","",COUNTIFS('수집 현황'!$B$6:$B$105,$A31,'수집 현황'!$C$6:$C$105,G$5,'수집 현황'!$AA$6:$AA$105,"PASS"))</f>
        <v/>
      </c>
      <c r="H31" s="23" t="str">
        <f aca="false">IF($A31="","",COUNTIFS('수집 현황'!$B$6:$B$105,$A31,'수집 현황'!$C$6:$C$105,H$5,'수집 현황'!$AA$6:$AA$105,"PASS"))</f>
        <v/>
      </c>
      <c r="I31" s="23" t="str">
        <f aca="false">IF($A31="","",COUNTIFS('수집 현황'!$B$6:$B$105,$A31,'수집 현황'!$C$6:$C$105,I$5,'수집 현황'!$AA$6:$AA$105,"PASS"))</f>
        <v/>
      </c>
      <c r="J31" s="23" t="str">
        <f aca="false">IF($A31="","",COUNTIFS('수집 현황'!$B$6:$B$105,$A31,'수집 현황'!$C$6:$C$105,J$5,'수집 현황'!$AA$6:$AA$105,"PASS"))</f>
        <v/>
      </c>
      <c r="K31" s="22" t="str">
        <f aca="false">IF($A31="","",SUM(C31:J31))</f>
        <v/>
      </c>
      <c r="L31" s="22" t="str">
        <f aca="false">IF($A31="","",COUNTIF(C31:J31,"&lt;"&amp;$C$3))</f>
        <v/>
      </c>
      <c r="M31" s="21" t="str">
        <f aca="false">IF($A31="","",IF(L31=0,"완료",L31&amp;"종 부족"))</f>
        <v/>
      </c>
    </row>
    <row r="32" customFormat="false" ht="15" hidden="false" customHeight="false" outlineLevel="0" collapsed="false">
      <c r="A32" s="23" t="str">
        <f aca="false">IF('참가자 명단'!B32="","",'참가자 명단'!B32)</f>
        <v/>
      </c>
      <c r="B32" s="23" t="str">
        <f aca="false">IF('참가자 명단'!H32="","",'참가자 명단'!H32)</f>
        <v/>
      </c>
      <c r="C32" s="23" t="str">
        <f aca="false">IF($A32="","",COUNTIFS('수집 현황'!$B$6:$B$105,$A32,'수집 현황'!$C$6:$C$105,C$5,'수집 현황'!$AA$6:$AA$105,"PASS"))</f>
        <v/>
      </c>
      <c r="D32" s="23" t="str">
        <f aca="false">IF($A32="","",COUNTIFS('수집 현황'!$B$6:$B$105,$A32,'수집 현황'!$C$6:$C$105,D$5,'수집 현황'!$AA$6:$AA$105,"PASS"))</f>
        <v/>
      </c>
      <c r="E32" s="23" t="str">
        <f aca="false">IF($A32="","",COUNTIFS('수집 현황'!$B$6:$B$105,$A32,'수집 현황'!$C$6:$C$105,E$5,'수집 현황'!$AA$6:$AA$105,"PASS"))</f>
        <v/>
      </c>
      <c r="F32" s="23" t="str">
        <f aca="false">IF($A32="","",COUNTIFS('수집 현황'!$B$6:$B$105,$A32,'수집 현황'!$C$6:$C$105,F$5,'수집 현황'!$AA$6:$AA$105,"PASS"))</f>
        <v/>
      </c>
      <c r="G32" s="23" t="str">
        <f aca="false">IF($A32="","",COUNTIFS('수집 현황'!$B$6:$B$105,$A32,'수집 현황'!$C$6:$C$105,G$5,'수집 현황'!$AA$6:$AA$105,"PASS"))</f>
        <v/>
      </c>
      <c r="H32" s="23" t="str">
        <f aca="false">IF($A32="","",COUNTIFS('수집 현황'!$B$6:$B$105,$A32,'수집 현황'!$C$6:$C$105,H$5,'수집 현황'!$AA$6:$AA$105,"PASS"))</f>
        <v/>
      </c>
      <c r="I32" s="23" t="str">
        <f aca="false">IF($A32="","",COUNTIFS('수집 현황'!$B$6:$B$105,$A32,'수집 현황'!$C$6:$C$105,I$5,'수집 현황'!$AA$6:$AA$105,"PASS"))</f>
        <v/>
      </c>
      <c r="J32" s="23" t="str">
        <f aca="false">IF($A32="","",COUNTIFS('수집 현황'!$B$6:$B$105,$A32,'수집 현황'!$C$6:$C$105,J$5,'수집 현황'!$AA$6:$AA$105,"PASS"))</f>
        <v/>
      </c>
      <c r="K32" s="22" t="str">
        <f aca="false">IF($A32="","",SUM(C32:J32))</f>
        <v/>
      </c>
      <c r="L32" s="22" t="str">
        <f aca="false">IF($A32="","",COUNTIF(C32:J32,"&lt;"&amp;$C$3))</f>
        <v/>
      </c>
      <c r="M32" s="21" t="str">
        <f aca="false">IF($A32="","",IF(L32=0,"완료",L32&amp;"종 부족"))</f>
        <v/>
      </c>
    </row>
    <row r="33" customFormat="false" ht="15" hidden="false" customHeight="false" outlineLevel="0" collapsed="false">
      <c r="A33" s="23" t="str">
        <f aca="false">IF('참가자 명단'!B33="","",'참가자 명단'!B33)</f>
        <v/>
      </c>
      <c r="B33" s="23" t="str">
        <f aca="false">IF('참가자 명단'!H33="","",'참가자 명단'!H33)</f>
        <v/>
      </c>
      <c r="C33" s="23" t="str">
        <f aca="false">IF($A33="","",COUNTIFS('수집 현황'!$B$6:$B$105,$A33,'수집 현황'!$C$6:$C$105,C$5,'수집 현황'!$AA$6:$AA$105,"PASS"))</f>
        <v/>
      </c>
      <c r="D33" s="23" t="str">
        <f aca="false">IF($A33="","",COUNTIFS('수집 현황'!$B$6:$B$105,$A33,'수집 현황'!$C$6:$C$105,D$5,'수집 현황'!$AA$6:$AA$105,"PASS"))</f>
        <v/>
      </c>
      <c r="E33" s="23" t="str">
        <f aca="false">IF($A33="","",COUNTIFS('수집 현황'!$B$6:$B$105,$A33,'수집 현황'!$C$6:$C$105,E$5,'수집 현황'!$AA$6:$AA$105,"PASS"))</f>
        <v/>
      </c>
      <c r="F33" s="23" t="str">
        <f aca="false">IF($A33="","",COUNTIFS('수집 현황'!$B$6:$B$105,$A33,'수집 현황'!$C$6:$C$105,F$5,'수집 현황'!$AA$6:$AA$105,"PASS"))</f>
        <v/>
      </c>
      <c r="G33" s="23" t="str">
        <f aca="false">IF($A33="","",COUNTIFS('수집 현황'!$B$6:$B$105,$A33,'수집 현황'!$C$6:$C$105,G$5,'수집 현황'!$AA$6:$AA$105,"PASS"))</f>
        <v/>
      </c>
      <c r="H33" s="23" t="str">
        <f aca="false">IF($A33="","",COUNTIFS('수집 현황'!$B$6:$B$105,$A33,'수집 현황'!$C$6:$C$105,H$5,'수집 현황'!$AA$6:$AA$105,"PASS"))</f>
        <v/>
      </c>
      <c r="I33" s="23" t="str">
        <f aca="false">IF($A33="","",COUNTIFS('수집 현황'!$B$6:$B$105,$A33,'수집 현황'!$C$6:$C$105,I$5,'수집 현황'!$AA$6:$AA$105,"PASS"))</f>
        <v/>
      </c>
      <c r="J33" s="23" t="str">
        <f aca="false">IF($A33="","",COUNTIFS('수집 현황'!$B$6:$B$105,$A33,'수집 현황'!$C$6:$C$105,J$5,'수집 현황'!$AA$6:$AA$105,"PASS"))</f>
        <v/>
      </c>
      <c r="K33" s="22" t="str">
        <f aca="false">IF($A33="","",SUM(C33:J33))</f>
        <v/>
      </c>
      <c r="L33" s="22" t="str">
        <f aca="false">IF($A33="","",COUNTIF(C33:J33,"&lt;"&amp;$C$3))</f>
        <v/>
      </c>
      <c r="M33" s="21" t="str">
        <f aca="false">IF($A33="","",IF(L33=0,"완료",L33&amp;"종 부족"))</f>
        <v/>
      </c>
    </row>
    <row r="34" customFormat="false" ht="15" hidden="false" customHeight="false" outlineLevel="0" collapsed="false">
      <c r="A34" s="23" t="str">
        <f aca="false">IF('참가자 명단'!B34="","",'참가자 명단'!B34)</f>
        <v/>
      </c>
      <c r="B34" s="23" t="str">
        <f aca="false">IF('참가자 명단'!H34="","",'참가자 명단'!H34)</f>
        <v/>
      </c>
      <c r="C34" s="23" t="str">
        <f aca="false">IF($A34="","",COUNTIFS('수집 현황'!$B$6:$B$105,$A34,'수집 현황'!$C$6:$C$105,C$5,'수집 현황'!$AA$6:$AA$105,"PASS"))</f>
        <v/>
      </c>
      <c r="D34" s="23" t="str">
        <f aca="false">IF($A34="","",COUNTIFS('수집 현황'!$B$6:$B$105,$A34,'수집 현황'!$C$6:$C$105,D$5,'수집 현황'!$AA$6:$AA$105,"PASS"))</f>
        <v/>
      </c>
      <c r="E34" s="23" t="str">
        <f aca="false">IF($A34="","",COUNTIFS('수집 현황'!$B$6:$B$105,$A34,'수집 현황'!$C$6:$C$105,E$5,'수집 현황'!$AA$6:$AA$105,"PASS"))</f>
        <v/>
      </c>
      <c r="F34" s="23" t="str">
        <f aca="false">IF($A34="","",COUNTIFS('수집 현황'!$B$6:$B$105,$A34,'수집 현황'!$C$6:$C$105,F$5,'수집 현황'!$AA$6:$AA$105,"PASS"))</f>
        <v/>
      </c>
      <c r="G34" s="23" t="str">
        <f aca="false">IF($A34="","",COUNTIFS('수집 현황'!$B$6:$B$105,$A34,'수집 현황'!$C$6:$C$105,G$5,'수집 현황'!$AA$6:$AA$105,"PASS"))</f>
        <v/>
      </c>
      <c r="H34" s="23" t="str">
        <f aca="false">IF($A34="","",COUNTIFS('수집 현황'!$B$6:$B$105,$A34,'수집 현황'!$C$6:$C$105,H$5,'수집 현황'!$AA$6:$AA$105,"PASS"))</f>
        <v/>
      </c>
      <c r="I34" s="23" t="str">
        <f aca="false">IF($A34="","",COUNTIFS('수집 현황'!$B$6:$B$105,$A34,'수집 현황'!$C$6:$C$105,I$5,'수집 현황'!$AA$6:$AA$105,"PASS"))</f>
        <v/>
      </c>
      <c r="J34" s="23" t="str">
        <f aca="false">IF($A34="","",COUNTIFS('수집 현황'!$B$6:$B$105,$A34,'수집 현황'!$C$6:$C$105,J$5,'수집 현황'!$AA$6:$AA$105,"PASS"))</f>
        <v/>
      </c>
      <c r="K34" s="22" t="str">
        <f aca="false">IF($A34="","",SUM(C34:J34))</f>
        <v/>
      </c>
      <c r="L34" s="22" t="str">
        <f aca="false">IF($A34="","",COUNTIF(C34:J34,"&lt;"&amp;$C$3))</f>
        <v/>
      </c>
      <c r="M34" s="21" t="str">
        <f aca="false">IF($A34="","",IF(L34=0,"완료",L34&amp;"종 부족"))</f>
        <v/>
      </c>
    </row>
    <row r="35" customFormat="false" ht="15" hidden="false" customHeight="false" outlineLevel="0" collapsed="false">
      <c r="A35" s="23" t="str">
        <f aca="false">IF('참가자 명단'!B35="","",'참가자 명단'!B35)</f>
        <v/>
      </c>
      <c r="B35" s="23" t="str">
        <f aca="false">IF('참가자 명단'!H35="","",'참가자 명단'!H35)</f>
        <v/>
      </c>
      <c r="C35" s="23" t="str">
        <f aca="false">IF($A35="","",COUNTIFS('수집 현황'!$B$6:$B$105,$A35,'수집 현황'!$C$6:$C$105,C$5,'수집 현황'!$AA$6:$AA$105,"PASS"))</f>
        <v/>
      </c>
      <c r="D35" s="23" t="str">
        <f aca="false">IF($A35="","",COUNTIFS('수집 현황'!$B$6:$B$105,$A35,'수집 현황'!$C$6:$C$105,D$5,'수집 현황'!$AA$6:$AA$105,"PASS"))</f>
        <v/>
      </c>
      <c r="E35" s="23" t="str">
        <f aca="false">IF($A35="","",COUNTIFS('수집 현황'!$B$6:$B$105,$A35,'수집 현황'!$C$6:$C$105,E$5,'수집 현황'!$AA$6:$AA$105,"PASS"))</f>
        <v/>
      </c>
      <c r="F35" s="23" t="str">
        <f aca="false">IF($A35="","",COUNTIFS('수집 현황'!$B$6:$B$105,$A35,'수집 현황'!$C$6:$C$105,F$5,'수집 현황'!$AA$6:$AA$105,"PASS"))</f>
        <v/>
      </c>
      <c r="G35" s="23" t="str">
        <f aca="false">IF($A35="","",COUNTIFS('수집 현황'!$B$6:$B$105,$A35,'수집 현황'!$C$6:$C$105,G$5,'수집 현황'!$AA$6:$AA$105,"PASS"))</f>
        <v/>
      </c>
      <c r="H35" s="23" t="str">
        <f aca="false">IF($A35="","",COUNTIFS('수집 현황'!$B$6:$B$105,$A35,'수집 현황'!$C$6:$C$105,H$5,'수집 현황'!$AA$6:$AA$105,"PASS"))</f>
        <v/>
      </c>
      <c r="I35" s="23" t="str">
        <f aca="false">IF($A35="","",COUNTIFS('수집 현황'!$B$6:$B$105,$A35,'수집 현황'!$C$6:$C$105,I$5,'수집 현황'!$AA$6:$AA$105,"PASS"))</f>
        <v/>
      </c>
      <c r="J35" s="23" t="str">
        <f aca="false">IF($A35="","",COUNTIFS('수집 현황'!$B$6:$B$105,$A35,'수집 현황'!$C$6:$C$105,J$5,'수집 현황'!$AA$6:$AA$105,"PASS"))</f>
        <v/>
      </c>
      <c r="K35" s="22" t="str">
        <f aca="false">IF($A35="","",SUM(C35:J35))</f>
        <v/>
      </c>
      <c r="L35" s="22" t="str">
        <f aca="false">IF($A35="","",COUNTIF(C35:J35,"&lt;"&amp;$C$3))</f>
        <v/>
      </c>
      <c r="M35" s="21" t="str">
        <f aca="false">IF($A35="","",IF(L35=0,"완료",L35&amp;"종 부족"))</f>
        <v/>
      </c>
    </row>
    <row r="36" customFormat="false" ht="15" hidden="false" customHeight="false" outlineLevel="0" collapsed="false">
      <c r="A36" s="23" t="str">
        <f aca="false">IF('참가자 명단'!B36="","",'참가자 명단'!B36)</f>
        <v/>
      </c>
      <c r="B36" s="23" t="str">
        <f aca="false">IF('참가자 명단'!H36="","",'참가자 명단'!H36)</f>
        <v/>
      </c>
      <c r="C36" s="23" t="str">
        <f aca="false">IF($A36="","",COUNTIFS('수집 현황'!$B$6:$B$105,$A36,'수집 현황'!$C$6:$C$105,C$5,'수집 현황'!$AA$6:$AA$105,"PASS"))</f>
        <v/>
      </c>
      <c r="D36" s="23" t="str">
        <f aca="false">IF($A36="","",COUNTIFS('수집 현황'!$B$6:$B$105,$A36,'수집 현황'!$C$6:$C$105,D$5,'수집 현황'!$AA$6:$AA$105,"PASS"))</f>
        <v/>
      </c>
      <c r="E36" s="23" t="str">
        <f aca="false">IF($A36="","",COUNTIFS('수집 현황'!$B$6:$B$105,$A36,'수집 현황'!$C$6:$C$105,E$5,'수집 현황'!$AA$6:$AA$105,"PASS"))</f>
        <v/>
      </c>
      <c r="F36" s="23" t="str">
        <f aca="false">IF($A36="","",COUNTIFS('수집 현황'!$B$6:$B$105,$A36,'수집 현황'!$C$6:$C$105,F$5,'수집 현황'!$AA$6:$AA$105,"PASS"))</f>
        <v/>
      </c>
      <c r="G36" s="23" t="str">
        <f aca="false">IF($A36="","",COUNTIFS('수집 현황'!$B$6:$B$105,$A36,'수집 현황'!$C$6:$C$105,G$5,'수집 현황'!$AA$6:$AA$105,"PASS"))</f>
        <v/>
      </c>
      <c r="H36" s="23" t="str">
        <f aca="false">IF($A36="","",COUNTIFS('수집 현황'!$B$6:$B$105,$A36,'수집 현황'!$C$6:$C$105,H$5,'수집 현황'!$AA$6:$AA$105,"PASS"))</f>
        <v/>
      </c>
      <c r="I36" s="23" t="str">
        <f aca="false">IF($A36="","",COUNTIFS('수집 현황'!$B$6:$B$105,$A36,'수집 현황'!$C$6:$C$105,I$5,'수집 현황'!$AA$6:$AA$105,"PASS"))</f>
        <v/>
      </c>
      <c r="J36" s="23" t="str">
        <f aca="false">IF($A36="","",COUNTIFS('수집 현황'!$B$6:$B$105,$A36,'수집 현황'!$C$6:$C$105,J$5,'수집 현황'!$AA$6:$AA$105,"PASS"))</f>
        <v/>
      </c>
      <c r="K36" s="22" t="str">
        <f aca="false">IF($A36="","",SUM(C36:J36))</f>
        <v/>
      </c>
      <c r="L36" s="22" t="str">
        <f aca="false">IF($A36="","",COUNTIF(C36:J36,"&lt;"&amp;$C$3))</f>
        <v/>
      </c>
      <c r="M36" s="21" t="str">
        <f aca="false">IF($A36="","",IF(L36=0,"완료",L36&amp;"종 부족"))</f>
        <v/>
      </c>
    </row>
    <row r="37" customFormat="false" ht="15" hidden="false" customHeight="false" outlineLevel="0" collapsed="false">
      <c r="A37" s="23" t="str">
        <f aca="false">IF('참가자 명단'!B37="","",'참가자 명단'!B37)</f>
        <v/>
      </c>
      <c r="B37" s="23" t="str">
        <f aca="false">IF('참가자 명단'!H37="","",'참가자 명단'!H37)</f>
        <v/>
      </c>
      <c r="C37" s="23" t="str">
        <f aca="false">IF($A37="","",COUNTIFS('수집 현황'!$B$6:$B$105,$A37,'수집 현황'!$C$6:$C$105,C$5,'수집 현황'!$AA$6:$AA$105,"PASS"))</f>
        <v/>
      </c>
      <c r="D37" s="23" t="str">
        <f aca="false">IF($A37="","",COUNTIFS('수집 현황'!$B$6:$B$105,$A37,'수집 현황'!$C$6:$C$105,D$5,'수집 현황'!$AA$6:$AA$105,"PASS"))</f>
        <v/>
      </c>
      <c r="E37" s="23" t="str">
        <f aca="false">IF($A37="","",COUNTIFS('수집 현황'!$B$6:$B$105,$A37,'수집 현황'!$C$6:$C$105,E$5,'수집 현황'!$AA$6:$AA$105,"PASS"))</f>
        <v/>
      </c>
      <c r="F37" s="23" t="str">
        <f aca="false">IF($A37="","",COUNTIFS('수집 현황'!$B$6:$B$105,$A37,'수집 현황'!$C$6:$C$105,F$5,'수집 현황'!$AA$6:$AA$105,"PASS"))</f>
        <v/>
      </c>
      <c r="G37" s="23" t="str">
        <f aca="false">IF($A37="","",COUNTIFS('수집 현황'!$B$6:$B$105,$A37,'수집 현황'!$C$6:$C$105,G$5,'수집 현황'!$AA$6:$AA$105,"PASS"))</f>
        <v/>
      </c>
      <c r="H37" s="23" t="str">
        <f aca="false">IF($A37="","",COUNTIFS('수집 현황'!$B$6:$B$105,$A37,'수집 현황'!$C$6:$C$105,H$5,'수집 현황'!$AA$6:$AA$105,"PASS"))</f>
        <v/>
      </c>
      <c r="I37" s="23" t="str">
        <f aca="false">IF($A37="","",COUNTIFS('수집 현황'!$B$6:$B$105,$A37,'수집 현황'!$C$6:$C$105,I$5,'수집 현황'!$AA$6:$AA$105,"PASS"))</f>
        <v/>
      </c>
      <c r="J37" s="23" t="str">
        <f aca="false">IF($A37="","",COUNTIFS('수집 현황'!$B$6:$B$105,$A37,'수집 현황'!$C$6:$C$105,J$5,'수집 현황'!$AA$6:$AA$105,"PASS"))</f>
        <v/>
      </c>
      <c r="K37" s="22" t="str">
        <f aca="false">IF($A37="","",SUM(C37:J37))</f>
        <v/>
      </c>
      <c r="L37" s="22" t="str">
        <f aca="false">IF($A37="","",COUNTIF(C37:J37,"&lt;"&amp;$C$3))</f>
        <v/>
      </c>
      <c r="M37" s="21" t="str">
        <f aca="false">IF($A37="","",IF(L37=0,"완료",L37&amp;"종 부족"))</f>
        <v/>
      </c>
    </row>
    <row r="38" customFormat="false" ht="15" hidden="false" customHeight="false" outlineLevel="0" collapsed="false">
      <c r="A38" s="23" t="str">
        <f aca="false">IF('참가자 명단'!B38="","",'참가자 명단'!B38)</f>
        <v/>
      </c>
      <c r="B38" s="23" t="str">
        <f aca="false">IF('참가자 명단'!H38="","",'참가자 명단'!H38)</f>
        <v/>
      </c>
      <c r="C38" s="23" t="str">
        <f aca="false">IF($A38="","",COUNTIFS('수집 현황'!$B$6:$B$105,$A38,'수집 현황'!$C$6:$C$105,C$5,'수집 현황'!$AA$6:$AA$105,"PASS"))</f>
        <v/>
      </c>
      <c r="D38" s="23" t="str">
        <f aca="false">IF($A38="","",COUNTIFS('수집 현황'!$B$6:$B$105,$A38,'수집 현황'!$C$6:$C$105,D$5,'수집 현황'!$AA$6:$AA$105,"PASS"))</f>
        <v/>
      </c>
      <c r="E38" s="23" t="str">
        <f aca="false">IF($A38="","",COUNTIFS('수집 현황'!$B$6:$B$105,$A38,'수집 현황'!$C$6:$C$105,E$5,'수집 현황'!$AA$6:$AA$105,"PASS"))</f>
        <v/>
      </c>
      <c r="F38" s="23" t="str">
        <f aca="false">IF($A38="","",COUNTIFS('수집 현황'!$B$6:$B$105,$A38,'수집 현황'!$C$6:$C$105,F$5,'수집 현황'!$AA$6:$AA$105,"PASS"))</f>
        <v/>
      </c>
      <c r="G38" s="23" t="str">
        <f aca="false">IF($A38="","",COUNTIFS('수집 현황'!$B$6:$B$105,$A38,'수집 현황'!$C$6:$C$105,G$5,'수집 현황'!$AA$6:$AA$105,"PASS"))</f>
        <v/>
      </c>
      <c r="H38" s="23" t="str">
        <f aca="false">IF($A38="","",COUNTIFS('수집 현황'!$B$6:$B$105,$A38,'수집 현황'!$C$6:$C$105,H$5,'수집 현황'!$AA$6:$AA$105,"PASS"))</f>
        <v/>
      </c>
      <c r="I38" s="23" t="str">
        <f aca="false">IF($A38="","",COUNTIFS('수집 현황'!$B$6:$B$105,$A38,'수집 현황'!$C$6:$C$105,I$5,'수집 현황'!$AA$6:$AA$105,"PASS"))</f>
        <v/>
      </c>
      <c r="J38" s="23" t="str">
        <f aca="false">IF($A38="","",COUNTIFS('수집 현황'!$B$6:$B$105,$A38,'수집 현황'!$C$6:$C$105,J$5,'수집 현황'!$AA$6:$AA$105,"PASS"))</f>
        <v/>
      </c>
      <c r="K38" s="22" t="str">
        <f aca="false">IF($A38="","",SUM(C38:J38))</f>
        <v/>
      </c>
      <c r="L38" s="22" t="str">
        <f aca="false">IF($A38="","",COUNTIF(C38:J38,"&lt;"&amp;$C$3))</f>
        <v/>
      </c>
      <c r="M38" s="21" t="str">
        <f aca="false">IF($A38="","",IF(L38=0,"완료",L38&amp;"종 부족"))</f>
        <v/>
      </c>
    </row>
    <row r="39" customFormat="false" ht="15" hidden="false" customHeight="false" outlineLevel="0" collapsed="false">
      <c r="A39" s="23" t="str">
        <f aca="false">IF('참가자 명단'!B39="","",'참가자 명단'!B39)</f>
        <v/>
      </c>
      <c r="B39" s="23" t="str">
        <f aca="false">IF('참가자 명단'!H39="","",'참가자 명단'!H39)</f>
        <v/>
      </c>
      <c r="C39" s="23" t="str">
        <f aca="false">IF($A39="","",COUNTIFS('수집 현황'!$B$6:$B$105,$A39,'수집 현황'!$C$6:$C$105,C$5,'수집 현황'!$AA$6:$AA$105,"PASS"))</f>
        <v/>
      </c>
      <c r="D39" s="23" t="str">
        <f aca="false">IF($A39="","",COUNTIFS('수집 현황'!$B$6:$B$105,$A39,'수집 현황'!$C$6:$C$105,D$5,'수집 현황'!$AA$6:$AA$105,"PASS"))</f>
        <v/>
      </c>
      <c r="E39" s="23" t="str">
        <f aca="false">IF($A39="","",COUNTIFS('수집 현황'!$B$6:$B$105,$A39,'수집 현황'!$C$6:$C$105,E$5,'수집 현황'!$AA$6:$AA$105,"PASS"))</f>
        <v/>
      </c>
      <c r="F39" s="23" t="str">
        <f aca="false">IF($A39="","",COUNTIFS('수집 현황'!$B$6:$B$105,$A39,'수집 현황'!$C$6:$C$105,F$5,'수집 현황'!$AA$6:$AA$105,"PASS"))</f>
        <v/>
      </c>
      <c r="G39" s="23" t="str">
        <f aca="false">IF($A39="","",COUNTIFS('수집 현황'!$B$6:$B$105,$A39,'수집 현황'!$C$6:$C$105,G$5,'수집 현황'!$AA$6:$AA$105,"PASS"))</f>
        <v/>
      </c>
      <c r="H39" s="23" t="str">
        <f aca="false">IF($A39="","",COUNTIFS('수집 현황'!$B$6:$B$105,$A39,'수집 현황'!$C$6:$C$105,H$5,'수집 현황'!$AA$6:$AA$105,"PASS"))</f>
        <v/>
      </c>
      <c r="I39" s="23" t="str">
        <f aca="false">IF($A39="","",COUNTIFS('수집 현황'!$B$6:$B$105,$A39,'수집 현황'!$C$6:$C$105,I$5,'수집 현황'!$AA$6:$AA$105,"PASS"))</f>
        <v/>
      </c>
      <c r="J39" s="23" t="str">
        <f aca="false">IF($A39="","",COUNTIFS('수집 현황'!$B$6:$B$105,$A39,'수집 현황'!$C$6:$C$105,J$5,'수집 현황'!$AA$6:$AA$105,"PASS"))</f>
        <v/>
      </c>
      <c r="K39" s="22" t="str">
        <f aca="false">IF($A39="","",SUM(C39:J39))</f>
        <v/>
      </c>
      <c r="L39" s="22" t="str">
        <f aca="false">IF($A39="","",COUNTIF(C39:J39,"&lt;"&amp;$C$3))</f>
        <v/>
      </c>
      <c r="M39" s="21" t="str">
        <f aca="false">IF($A39="","",IF(L39=0,"완료",L39&amp;"종 부족"))</f>
        <v/>
      </c>
    </row>
    <row r="40" customFormat="false" ht="15" hidden="false" customHeight="false" outlineLevel="0" collapsed="false">
      <c r="A40" s="23" t="str">
        <f aca="false">IF('참가자 명단'!B40="","",'참가자 명단'!B40)</f>
        <v/>
      </c>
      <c r="B40" s="23" t="str">
        <f aca="false">IF('참가자 명단'!H40="","",'참가자 명단'!H40)</f>
        <v/>
      </c>
      <c r="C40" s="23" t="str">
        <f aca="false">IF($A40="","",COUNTIFS('수집 현황'!$B$6:$B$105,$A40,'수집 현황'!$C$6:$C$105,C$5,'수집 현황'!$AA$6:$AA$105,"PASS"))</f>
        <v/>
      </c>
      <c r="D40" s="23" t="str">
        <f aca="false">IF($A40="","",COUNTIFS('수집 현황'!$B$6:$B$105,$A40,'수집 현황'!$C$6:$C$105,D$5,'수집 현황'!$AA$6:$AA$105,"PASS"))</f>
        <v/>
      </c>
      <c r="E40" s="23" t="str">
        <f aca="false">IF($A40="","",COUNTIFS('수집 현황'!$B$6:$B$105,$A40,'수집 현황'!$C$6:$C$105,E$5,'수집 현황'!$AA$6:$AA$105,"PASS"))</f>
        <v/>
      </c>
      <c r="F40" s="23" t="str">
        <f aca="false">IF($A40="","",COUNTIFS('수집 현황'!$B$6:$B$105,$A40,'수집 현황'!$C$6:$C$105,F$5,'수집 현황'!$AA$6:$AA$105,"PASS"))</f>
        <v/>
      </c>
      <c r="G40" s="23" t="str">
        <f aca="false">IF($A40="","",COUNTIFS('수집 현황'!$B$6:$B$105,$A40,'수집 현황'!$C$6:$C$105,G$5,'수집 현황'!$AA$6:$AA$105,"PASS"))</f>
        <v/>
      </c>
      <c r="H40" s="23" t="str">
        <f aca="false">IF($A40="","",COUNTIFS('수집 현황'!$B$6:$B$105,$A40,'수집 현황'!$C$6:$C$105,H$5,'수집 현황'!$AA$6:$AA$105,"PASS"))</f>
        <v/>
      </c>
      <c r="I40" s="23" t="str">
        <f aca="false">IF($A40="","",COUNTIFS('수집 현황'!$B$6:$B$105,$A40,'수집 현황'!$C$6:$C$105,I$5,'수집 현황'!$AA$6:$AA$105,"PASS"))</f>
        <v/>
      </c>
      <c r="J40" s="23" t="str">
        <f aca="false">IF($A40="","",COUNTIFS('수집 현황'!$B$6:$B$105,$A40,'수집 현황'!$C$6:$C$105,J$5,'수집 현황'!$AA$6:$AA$105,"PASS"))</f>
        <v/>
      </c>
      <c r="K40" s="22" t="str">
        <f aca="false">IF($A40="","",SUM(C40:J40))</f>
        <v/>
      </c>
      <c r="L40" s="22" t="str">
        <f aca="false">IF($A40="","",COUNTIF(C40:J40,"&lt;"&amp;$C$3))</f>
        <v/>
      </c>
      <c r="M40" s="21" t="str">
        <f aca="false">IF($A40="","",IF(L40=0,"완료",L40&amp;"종 부족"))</f>
        <v/>
      </c>
    </row>
    <row r="41" customFormat="false" ht="15" hidden="false" customHeight="false" outlineLevel="0" collapsed="false">
      <c r="A41" s="23" t="str">
        <f aca="false">IF('참가자 명단'!B41="","",'참가자 명단'!B41)</f>
        <v/>
      </c>
      <c r="B41" s="23" t="str">
        <f aca="false">IF('참가자 명단'!H41="","",'참가자 명단'!H41)</f>
        <v/>
      </c>
      <c r="C41" s="23" t="str">
        <f aca="false">IF($A41="","",COUNTIFS('수집 현황'!$B$6:$B$105,$A41,'수집 현황'!$C$6:$C$105,C$5,'수집 현황'!$AA$6:$AA$105,"PASS"))</f>
        <v/>
      </c>
      <c r="D41" s="23" t="str">
        <f aca="false">IF($A41="","",COUNTIFS('수집 현황'!$B$6:$B$105,$A41,'수집 현황'!$C$6:$C$105,D$5,'수집 현황'!$AA$6:$AA$105,"PASS"))</f>
        <v/>
      </c>
      <c r="E41" s="23" t="str">
        <f aca="false">IF($A41="","",COUNTIFS('수집 현황'!$B$6:$B$105,$A41,'수집 현황'!$C$6:$C$105,E$5,'수집 현황'!$AA$6:$AA$105,"PASS"))</f>
        <v/>
      </c>
      <c r="F41" s="23" t="str">
        <f aca="false">IF($A41="","",COUNTIFS('수집 현황'!$B$6:$B$105,$A41,'수집 현황'!$C$6:$C$105,F$5,'수집 현황'!$AA$6:$AA$105,"PASS"))</f>
        <v/>
      </c>
      <c r="G41" s="23" t="str">
        <f aca="false">IF($A41="","",COUNTIFS('수집 현황'!$B$6:$B$105,$A41,'수집 현황'!$C$6:$C$105,G$5,'수집 현황'!$AA$6:$AA$105,"PASS"))</f>
        <v/>
      </c>
      <c r="H41" s="23" t="str">
        <f aca="false">IF($A41="","",COUNTIFS('수집 현황'!$B$6:$B$105,$A41,'수집 현황'!$C$6:$C$105,H$5,'수집 현황'!$AA$6:$AA$105,"PASS"))</f>
        <v/>
      </c>
      <c r="I41" s="23" t="str">
        <f aca="false">IF($A41="","",COUNTIFS('수집 현황'!$B$6:$B$105,$A41,'수집 현황'!$C$6:$C$105,I$5,'수집 현황'!$AA$6:$AA$105,"PASS"))</f>
        <v/>
      </c>
      <c r="J41" s="23" t="str">
        <f aca="false">IF($A41="","",COUNTIFS('수집 현황'!$B$6:$B$105,$A41,'수집 현황'!$C$6:$C$105,J$5,'수집 현황'!$AA$6:$AA$105,"PASS"))</f>
        <v/>
      </c>
      <c r="K41" s="22" t="str">
        <f aca="false">IF($A41="","",SUM(C41:J41))</f>
        <v/>
      </c>
      <c r="L41" s="22" t="str">
        <f aca="false">IF($A41="","",COUNTIF(C41:J41,"&lt;"&amp;$C$3))</f>
        <v/>
      </c>
      <c r="M41" s="21" t="str">
        <f aca="false">IF($A41="","",IF(L41=0,"완료",L41&amp;"종 부족"))</f>
        <v/>
      </c>
    </row>
    <row r="42" customFormat="false" ht="15" hidden="false" customHeight="false" outlineLevel="0" collapsed="false">
      <c r="A42" s="23" t="str">
        <f aca="false">IF('참가자 명단'!B42="","",'참가자 명단'!B42)</f>
        <v/>
      </c>
      <c r="B42" s="23" t="str">
        <f aca="false">IF('참가자 명단'!H42="","",'참가자 명단'!H42)</f>
        <v/>
      </c>
      <c r="C42" s="23" t="str">
        <f aca="false">IF($A42="","",COUNTIFS('수집 현황'!$B$6:$B$105,$A42,'수집 현황'!$C$6:$C$105,C$5,'수집 현황'!$AA$6:$AA$105,"PASS"))</f>
        <v/>
      </c>
      <c r="D42" s="23" t="str">
        <f aca="false">IF($A42="","",COUNTIFS('수집 현황'!$B$6:$B$105,$A42,'수집 현황'!$C$6:$C$105,D$5,'수집 현황'!$AA$6:$AA$105,"PASS"))</f>
        <v/>
      </c>
      <c r="E42" s="23" t="str">
        <f aca="false">IF($A42="","",COUNTIFS('수집 현황'!$B$6:$B$105,$A42,'수집 현황'!$C$6:$C$105,E$5,'수집 현황'!$AA$6:$AA$105,"PASS"))</f>
        <v/>
      </c>
      <c r="F42" s="23" t="str">
        <f aca="false">IF($A42="","",COUNTIFS('수집 현황'!$B$6:$B$105,$A42,'수집 현황'!$C$6:$C$105,F$5,'수집 현황'!$AA$6:$AA$105,"PASS"))</f>
        <v/>
      </c>
      <c r="G42" s="23" t="str">
        <f aca="false">IF($A42="","",COUNTIFS('수집 현황'!$B$6:$B$105,$A42,'수집 현황'!$C$6:$C$105,G$5,'수집 현황'!$AA$6:$AA$105,"PASS"))</f>
        <v/>
      </c>
      <c r="H42" s="23" t="str">
        <f aca="false">IF($A42="","",COUNTIFS('수집 현황'!$B$6:$B$105,$A42,'수집 현황'!$C$6:$C$105,H$5,'수집 현황'!$AA$6:$AA$105,"PASS"))</f>
        <v/>
      </c>
      <c r="I42" s="23" t="str">
        <f aca="false">IF($A42="","",COUNTIFS('수집 현황'!$B$6:$B$105,$A42,'수집 현황'!$C$6:$C$105,I$5,'수집 현황'!$AA$6:$AA$105,"PASS"))</f>
        <v/>
      </c>
      <c r="J42" s="23" t="str">
        <f aca="false">IF($A42="","",COUNTIFS('수집 현황'!$B$6:$B$105,$A42,'수집 현황'!$C$6:$C$105,J$5,'수집 현황'!$AA$6:$AA$105,"PASS"))</f>
        <v/>
      </c>
      <c r="K42" s="22" t="str">
        <f aca="false">IF($A42="","",SUM(C42:J42))</f>
        <v/>
      </c>
      <c r="L42" s="22" t="str">
        <f aca="false">IF($A42="","",COUNTIF(C42:J42,"&lt;"&amp;$C$3))</f>
        <v/>
      </c>
      <c r="M42" s="21" t="str">
        <f aca="false">IF($A42="","",IF(L42=0,"완료",L42&amp;"종 부족"))</f>
        <v/>
      </c>
    </row>
    <row r="43" customFormat="false" ht="15" hidden="false" customHeight="false" outlineLevel="0" collapsed="false">
      <c r="A43" s="23" t="str">
        <f aca="false">IF('참가자 명단'!B43="","",'참가자 명단'!B43)</f>
        <v/>
      </c>
      <c r="B43" s="23" t="str">
        <f aca="false">IF('참가자 명단'!H43="","",'참가자 명단'!H43)</f>
        <v/>
      </c>
      <c r="C43" s="23" t="str">
        <f aca="false">IF($A43="","",COUNTIFS('수집 현황'!$B$6:$B$105,$A43,'수집 현황'!$C$6:$C$105,C$5,'수집 현황'!$AA$6:$AA$105,"PASS"))</f>
        <v/>
      </c>
      <c r="D43" s="23" t="str">
        <f aca="false">IF($A43="","",COUNTIFS('수집 현황'!$B$6:$B$105,$A43,'수집 현황'!$C$6:$C$105,D$5,'수집 현황'!$AA$6:$AA$105,"PASS"))</f>
        <v/>
      </c>
      <c r="E43" s="23" t="str">
        <f aca="false">IF($A43="","",COUNTIFS('수집 현황'!$B$6:$B$105,$A43,'수집 현황'!$C$6:$C$105,E$5,'수집 현황'!$AA$6:$AA$105,"PASS"))</f>
        <v/>
      </c>
      <c r="F43" s="23" t="str">
        <f aca="false">IF($A43="","",COUNTIFS('수집 현황'!$B$6:$B$105,$A43,'수집 현황'!$C$6:$C$105,F$5,'수집 현황'!$AA$6:$AA$105,"PASS"))</f>
        <v/>
      </c>
      <c r="G43" s="23" t="str">
        <f aca="false">IF($A43="","",COUNTIFS('수집 현황'!$B$6:$B$105,$A43,'수집 현황'!$C$6:$C$105,G$5,'수집 현황'!$AA$6:$AA$105,"PASS"))</f>
        <v/>
      </c>
      <c r="H43" s="23" t="str">
        <f aca="false">IF($A43="","",COUNTIFS('수집 현황'!$B$6:$B$105,$A43,'수집 현황'!$C$6:$C$105,H$5,'수집 현황'!$AA$6:$AA$105,"PASS"))</f>
        <v/>
      </c>
      <c r="I43" s="23" t="str">
        <f aca="false">IF($A43="","",COUNTIFS('수집 현황'!$B$6:$B$105,$A43,'수집 현황'!$C$6:$C$105,I$5,'수집 현황'!$AA$6:$AA$105,"PASS"))</f>
        <v/>
      </c>
      <c r="J43" s="23" t="str">
        <f aca="false">IF($A43="","",COUNTIFS('수집 현황'!$B$6:$B$105,$A43,'수집 현황'!$C$6:$C$105,J$5,'수집 현황'!$AA$6:$AA$105,"PASS"))</f>
        <v/>
      </c>
      <c r="K43" s="22" t="str">
        <f aca="false">IF($A43="","",SUM(C43:J43))</f>
        <v/>
      </c>
      <c r="L43" s="22" t="str">
        <f aca="false">IF($A43="","",COUNTIF(C43:J43,"&lt;"&amp;$C$3))</f>
        <v/>
      </c>
      <c r="M43" s="21" t="str">
        <f aca="false">IF($A43="","",IF(L43=0,"완료",L43&amp;"종 부족"))</f>
        <v/>
      </c>
    </row>
    <row r="44" customFormat="false" ht="15" hidden="false" customHeight="false" outlineLevel="0" collapsed="false">
      <c r="A44" s="23" t="str">
        <f aca="false">IF('참가자 명단'!B44="","",'참가자 명단'!B44)</f>
        <v/>
      </c>
      <c r="B44" s="23" t="str">
        <f aca="false">IF('참가자 명단'!H44="","",'참가자 명단'!H44)</f>
        <v/>
      </c>
      <c r="C44" s="23" t="str">
        <f aca="false">IF($A44="","",COUNTIFS('수집 현황'!$B$6:$B$105,$A44,'수집 현황'!$C$6:$C$105,C$5,'수집 현황'!$AA$6:$AA$105,"PASS"))</f>
        <v/>
      </c>
      <c r="D44" s="23" t="str">
        <f aca="false">IF($A44="","",COUNTIFS('수집 현황'!$B$6:$B$105,$A44,'수집 현황'!$C$6:$C$105,D$5,'수집 현황'!$AA$6:$AA$105,"PASS"))</f>
        <v/>
      </c>
      <c r="E44" s="23" t="str">
        <f aca="false">IF($A44="","",COUNTIFS('수집 현황'!$B$6:$B$105,$A44,'수집 현황'!$C$6:$C$105,E$5,'수집 현황'!$AA$6:$AA$105,"PASS"))</f>
        <v/>
      </c>
      <c r="F44" s="23" t="str">
        <f aca="false">IF($A44="","",COUNTIFS('수집 현황'!$B$6:$B$105,$A44,'수집 현황'!$C$6:$C$105,F$5,'수집 현황'!$AA$6:$AA$105,"PASS"))</f>
        <v/>
      </c>
      <c r="G44" s="23" t="str">
        <f aca="false">IF($A44="","",COUNTIFS('수집 현황'!$B$6:$B$105,$A44,'수집 현황'!$C$6:$C$105,G$5,'수집 현황'!$AA$6:$AA$105,"PASS"))</f>
        <v/>
      </c>
      <c r="H44" s="23" t="str">
        <f aca="false">IF($A44="","",COUNTIFS('수집 현황'!$B$6:$B$105,$A44,'수집 현황'!$C$6:$C$105,H$5,'수집 현황'!$AA$6:$AA$105,"PASS"))</f>
        <v/>
      </c>
      <c r="I44" s="23" t="str">
        <f aca="false">IF($A44="","",COUNTIFS('수집 현황'!$B$6:$B$105,$A44,'수집 현황'!$C$6:$C$105,I$5,'수집 현황'!$AA$6:$AA$105,"PASS"))</f>
        <v/>
      </c>
      <c r="J44" s="23" t="str">
        <f aca="false">IF($A44="","",COUNTIFS('수집 현황'!$B$6:$B$105,$A44,'수집 현황'!$C$6:$C$105,J$5,'수집 현황'!$AA$6:$AA$105,"PASS"))</f>
        <v/>
      </c>
      <c r="K44" s="22" t="str">
        <f aca="false">IF($A44="","",SUM(C44:J44))</f>
        <v/>
      </c>
      <c r="L44" s="22" t="str">
        <f aca="false">IF($A44="","",COUNTIF(C44:J44,"&lt;"&amp;$C$3))</f>
        <v/>
      </c>
      <c r="M44" s="21" t="str">
        <f aca="false">IF($A44="","",IF(L44=0,"완료",L44&amp;"종 부족"))</f>
        <v/>
      </c>
    </row>
    <row r="45" customFormat="false" ht="15" hidden="false" customHeight="false" outlineLevel="0" collapsed="false">
      <c r="A45" s="23" t="str">
        <f aca="false">IF('참가자 명단'!B45="","",'참가자 명단'!B45)</f>
        <v/>
      </c>
      <c r="B45" s="23" t="str">
        <f aca="false">IF('참가자 명단'!H45="","",'참가자 명단'!H45)</f>
        <v/>
      </c>
      <c r="C45" s="23" t="str">
        <f aca="false">IF($A45="","",COUNTIFS('수집 현황'!$B$6:$B$105,$A45,'수집 현황'!$C$6:$C$105,C$5,'수집 현황'!$AA$6:$AA$105,"PASS"))</f>
        <v/>
      </c>
      <c r="D45" s="23" t="str">
        <f aca="false">IF($A45="","",COUNTIFS('수집 현황'!$B$6:$B$105,$A45,'수집 현황'!$C$6:$C$105,D$5,'수집 현황'!$AA$6:$AA$105,"PASS"))</f>
        <v/>
      </c>
      <c r="E45" s="23" t="str">
        <f aca="false">IF($A45="","",COUNTIFS('수집 현황'!$B$6:$B$105,$A45,'수집 현황'!$C$6:$C$105,E$5,'수집 현황'!$AA$6:$AA$105,"PASS"))</f>
        <v/>
      </c>
      <c r="F45" s="23" t="str">
        <f aca="false">IF($A45="","",COUNTIFS('수집 현황'!$B$6:$B$105,$A45,'수집 현황'!$C$6:$C$105,F$5,'수집 현황'!$AA$6:$AA$105,"PASS"))</f>
        <v/>
      </c>
      <c r="G45" s="23" t="str">
        <f aca="false">IF($A45="","",COUNTIFS('수집 현황'!$B$6:$B$105,$A45,'수집 현황'!$C$6:$C$105,G$5,'수집 현황'!$AA$6:$AA$105,"PASS"))</f>
        <v/>
      </c>
      <c r="H45" s="23" t="str">
        <f aca="false">IF($A45="","",COUNTIFS('수집 현황'!$B$6:$B$105,$A45,'수집 현황'!$C$6:$C$105,H$5,'수집 현황'!$AA$6:$AA$105,"PASS"))</f>
        <v/>
      </c>
      <c r="I45" s="23" t="str">
        <f aca="false">IF($A45="","",COUNTIFS('수집 현황'!$B$6:$B$105,$A45,'수집 현황'!$C$6:$C$105,I$5,'수집 현황'!$AA$6:$AA$105,"PASS"))</f>
        <v/>
      </c>
      <c r="J45" s="23" t="str">
        <f aca="false">IF($A45="","",COUNTIFS('수집 현황'!$B$6:$B$105,$A45,'수집 현황'!$C$6:$C$105,J$5,'수집 현황'!$AA$6:$AA$105,"PASS"))</f>
        <v/>
      </c>
      <c r="K45" s="22" t="str">
        <f aca="false">IF($A45="","",SUM(C45:J45))</f>
        <v/>
      </c>
      <c r="L45" s="22" t="str">
        <f aca="false">IF($A45="","",COUNTIF(C45:J45,"&lt;"&amp;$C$3))</f>
        <v/>
      </c>
      <c r="M45" s="21" t="str">
        <f aca="false">IF($A45="","",IF(L45=0,"완료",L45&amp;"종 부족"))</f>
        <v/>
      </c>
    </row>
    <row r="46" customFormat="false" ht="15" hidden="false" customHeight="false" outlineLevel="0" collapsed="false">
      <c r="A46" s="23" t="str">
        <f aca="false">IF('참가자 명단'!B46="","",'참가자 명단'!B46)</f>
        <v/>
      </c>
      <c r="B46" s="23" t="str">
        <f aca="false">IF('참가자 명단'!H46="","",'참가자 명단'!H46)</f>
        <v/>
      </c>
      <c r="C46" s="23" t="str">
        <f aca="false">IF($A46="","",COUNTIFS('수집 현황'!$B$6:$B$105,$A46,'수집 현황'!$C$6:$C$105,C$5,'수집 현황'!$AA$6:$AA$105,"PASS"))</f>
        <v/>
      </c>
      <c r="D46" s="23" t="str">
        <f aca="false">IF($A46="","",COUNTIFS('수집 현황'!$B$6:$B$105,$A46,'수집 현황'!$C$6:$C$105,D$5,'수집 현황'!$AA$6:$AA$105,"PASS"))</f>
        <v/>
      </c>
      <c r="E46" s="23" t="str">
        <f aca="false">IF($A46="","",COUNTIFS('수집 현황'!$B$6:$B$105,$A46,'수집 현황'!$C$6:$C$105,E$5,'수집 현황'!$AA$6:$AA$105,"PASS"))</f>
        <v/>
      </c>
      <c r="F46" s="23" t="str">
        <f aca="false">IF($A46="","",COUNTIFS('수집 현황'!$B$6:$B$105,$A46,'수집 현황'!$C$6:$C$105,F$5,'수집 현황'!$AA$6:$AA$105,"PASS"))</f>
        <v/>
      </c>
      <c r="G46" s="23" t="str">
        <f aca="false">IF($A46="","",COUNTIFS('수집 현황'!$B$6:$B$105,$A46,'수집 현황'!$C$6:$C$105,G$5,'수집 현황'!$AA$6:$AA$105,"PASS"))</f>
        <v/>
      </c>
      <c r="H46" s="23" t="str">
        <f aca="false">IF($A46="","",COUNTIFS('수집 현황'!$B$6:$B$105,$A46,'수집 현황'!$C$6:$C$105,H$5,'수집 현황'!$AA$6:$AA$105,"PASS"))</f>
        <v/>
      </c>
      <c r="I46" s="23" t="str">
        <f aca="false">IF($A46="","",COUNTIFS('수집 현황'!$B$6:$B$105,$A46,'수집 현황'!$C$6:$C$105,I$5,'수집 현황'!$AA$6:$AA$105,"PASS"))</f>
        <v/>
      </c>
      <c r="J46" s="23" t="str">
        <f aca="false">IF($A46="","",COUNTIFS('수집 현황'!$B$6:$B$105,$A46,'수집 현황'!$C$6:$C$105,J$5,'수집 현황'!$AA$6:$AA$105,"PASS"))</f>
        <v/>
      </c>
      <c r="K46" s="22" t="str">
        <f aca="false">IF($A46="","",SUM(C46:J46))</f>
        <v/>
      </c>
      <c r="L46" s="22" t="str">
        <f aca="false">IF($A46="","",COUNTIF(C46:J46,"&lt;"&amp;$C$3))</f>
        <v/>
      </c>
      <c r="M46" s="21" t="str">
        <f aca="false">IF($A46="","",IF(L46=0,"완료",L46&amp;"종 부족"))</f>
        <v/>
      </c>
    </row>
    <row r="47" customFormat="false" ht="15" hidden="false" customHeight="false" outlineLevel="0" collapsed="false">
      <c r="A47" s="23" t="str">
        <f aca="false">IF('참가자 명단'!B47="","",'참가자 명단'!B47)</f>
        <v/>
      </c>
      <c r="B47" s="23" t="str">
        <f aca="false">IF('참가자 명단'!H47="","",'참가자 명단'!H47)</f>
        <v/>
      </c>
      <c r="C47" s="23" t="str">
        <f aca="false">IF($A47="","",COUNTIFS('수집 현황'!$B$6:$B$105,$A47,'수집 현황'!$C$6:$C$105,C$5,'수집 현황'!$AA$6:$AA$105,"PASS"))</f>
        <v/>
      </c>
      <c r="D47" s="23" t="str">
        <f aca="false">IF($A47="","",COUNTIFS('수집 현황'!$B$6:$B$105,$A47,'수집 현황'!$C$6:$C$105,D$5,'수집 현황'!$AA$6:$AA$105,"PASS"))</f>
        <v/>
      </c>
      <c r="E47" s="23" t="str">
        <f aca="false">IF($A47="","",COUNTIFS('수집 현황'!$B$6:$B$105,$A47,'수집 현황'!$C$6:$C$105,E$5,'수집 현황'!$AA$6:$AA$105,"PASS"))</f>
        <v/>
      </c>
      <c r="F47" s="23" t="str">
        <f aca="false">IF($A47="","",COUNTIFS('수집 현황'!$B$6:$B$105,$A47,'수집 현황'!$C$6:$C$105,F$5,'수집 현황'!$AA$6:$AA$105,"PASS"))</f>
        <v/>
      </c>
      <c r="G47" s="23" t="str">
        <f aca="false">IF($A47="","",COUNTIFS('수집 현황'!$B$6:$B$105,$A47,'수집 현황'!$C$6:$C$105,G$5,'수집 현황'!$AA$6:$AA$105,"PASS"))</f>
        <v/>
      </c>
      <c r="H47" s="23" t="str">
        <f aca="false">IF($A47="","",COUNTIFS('수집 현황'!$B$6:$B$105,$A47,'수집 현황'!$C$6:$C$105,H$5,'수집 현황'!$AA$6:$AA$105,"PASS"))</f>
        <v/>
      </c>
      <c r="I47" s="23" t="str">
        <f aca="false">IF($A47="","",COUNTIFS('수집 현황'!$B$6:$B$105,$A47,'수집 현황'!$C$6:$C$105,I$5,'수집 현황'!$AA$6:$AA$105,"PASS"))</f>
        <v/>
      </c>
      <c r="J47" s="23" t="str">
        <f aca="false">IF($A47="","",COUNTIFS('수집 현황'!$B$6:$B$105,$A47,'수집 현황'!$C$6:$C$105,J$5,'수집 현황'!$AA$6:$AA$105,"PASS"))</f>
        <v/>
      </c>
      <c r="K47" s="22" t="str">
        <f aca="false">IF($A47="","",SUM(C47:J47))</f>
        <v/>
      </c>
      <c r="L47" s="22" t="str">
        <f aca="false">IF($A47="","",COUNTIF(C47:J47,"&lt;"&amp;$C$3))</f>
        <v/>
      </c>
      <c r="M47" s="21" t="str">
        <f aca="false">IF($A47="","",IF(L47=0,"완료",L47&amp;"종 부족"))</f>
        <v/>
      </c>
    </row>
    <row r="48" customFormat="false" ht="15" hidden="false" customHeight="false" outlineLevel="0" collapsed="false">
      <c r="A48" s="23" t="str">
        <f aca="false">IF('참가자 명단'!B48="","",'참가자 명단'!B48)</f>
        <v/>
      </c>
      <c r="B48" s="23" t="str">
        <f aca="false">IF('참가자 명단'!H48="","",'참가자 명단'!H48)</f>
        <v/>
      </c>
      <c r="C48" s="23" t="str">
        <f aca="false">IF($A48="","",COUNTIFS('수집 현황'!$B$6:$B$105,$A48,'수집 현황'!$C$6:$C$105,C$5,'수집 현황'!$AA$6:$AA$105,"PASS"))</f>
        <v/>
      </c>
      <c r="D48" s="23" t="str">
        <f aca="false">IF($A48="","",COUNTIFS('수집 현황'!$B$6:$B$105,$A48,'수집 현황'!$C$6:$C$105,D$5,'수집 현황'!$AA$6:$AA$105,"PASS"))</f>
        <v/>
      </c>
      <c r="E48" s="23" t="str">
        <f aca="false">IF($A48="","",COUNTIFS('수집 현황'!$B$6:$B$105,$A48,'수집 현황'!$C$6:$C$105,E$5,'수집 현황'!$AA$6:$AA$105,"PASS"))</f>
        <v/>
      </c>
      <c r="F48" s="23" t="str">
        <f aca="false">IF($A48="","",COUNTIFS('수집 현황'!$B$6:$B$105,$A48,'수집 현황'!$C$6:$C$105,F$5,'수집 현황'!$AA$6:$AA$105,"PASS"))</f>
        <v/>
      </c>
      <c r="G48" s="23" t="str">
        <f aca="false">IF($A48="","",COUNTIFS('수집 현황'!$B$6:$B$105,$A48,'수집 현황'!$C$6:$C$105,G$5,'수집 현황'!$AA$6:$AA$105,"PASS"))</f>
        <v/>
      </c>
      <c r="H48" s="23" t="str">
        <f aca="false">IF($A48="","",COUNTIFS('수집 현황'!$B$6:$B$105,$A48,'수집 현황'!$C$6:$C$105,H$5,'수집 현황'!$AA$6:$AA$105,"PASS"))</f>
        <v/>
      </c>
      <c r="I48" s="23" t="str">
        <f aca="false">IF($A48="","",COUNTIFS('수집 현황'!$B$6:$B$105,$A48,'수집 현황'!$C$6:$C$105,I$5,'수집 현황'!$AA$6:$AA$105,"PASS"))</f>
        <v/>
      </c>
      <c r="J48" s="23" t="str">
        <f aca="false">IF($A48="","",COUNTIFS('수집 현황'!$B$6:$B$105,$A48,'수집 현황'!$C$6:$C$105,J$5,'수집 현황'!$AA$6:$AA$105,"PASS"))</f>
        <v/>
      </c>
      <c r="K48" s="22" t="str">
        <f aca="false">IF($A48="","",SUM(C48:J48))</f>
        <v/>
      </c>
      <c r="L48" s="22" t="str">
        <f aca="false">IF($A48="","",COUNTIF(C48:J48,"&lt;"&amp;$C$3))</f>
        <v/>
      </c>
      <c r="M48" s="21" t="str">
        <f aca="false">IF($A48="","",IF(L48=0,"완료",L48&amp;"종 부족"))</f>
        <v/>
      </c>
    </row>
    <row r="49" customFormat="false" ht="15" hidden="false" customHeight="false" outlineLevel="0" collapsed="false">
      <c r="A49" s="23" t="str">
        <f aca="false">IF('참가자 명단'!B49="","",'참가자 명단'!B49)</f>
        <v/>
      </c>
      <c r="B49" s="23" t="str">
        <f aca="false">IF('참가자 명단'!H49="","",'참가자 명단'!H49)</f>
        <v/>
      </c>
      <c r="C49" s="23" t="str">
        <f aca="false">IF($A49="","",COUNTIFS('수집 현황'!$B$6:$B$105,$A49,'수집 현황'!$C$6:$C$105,C$5,'수집 현황'!$AA$6:$AA$105,"PASS"))</f>
        <v/>
      </c>
      <c r="D49" s="23" t="str">
        <f aca="false">IF($A49="","",COUNTIFS('수집 현황'!$B$6:$B$105,$A49,'수집 현황'!$C$6:$C$105,D$5,'수집 현황'!$AA$6:$AA$105,"PASS"))</f>
        <v/>
      </c>
      <c r="E49" s="23" t="str">
        <f aca="false">IF($A49="","",COUNTIFS('수집 현황'!$B$6:$B$105,$A49,'수집 현황'!$C$6:$C$105,E$5,'수집 현황'!$AA$6:$AA$105,"PASS"))</f>
        <v/>
      </c>
      <c r="F49" s="23" t="str">
        <f aca="false">IF($A49="","",COUNTIFS('수집 현황'!$B$6:$B$105,$A49,'수집 현황'!$C$6:$C$105,F$5,'수집 현황'!$AA$6:$AA$105,"PASS"))</f>
        <v/>
      </c>
      <c r="G49" s="23" t="str">
        <f aca="false">IF($A49="","",COUNTIFS('수집 현황'!$B$6:$B$105,$A49,'수집 현황'!$C$6:$C$105,G$5,'수집 현황'!$AA$6:$AA$105,"PASS"))</f>
        <v/>
      </c>
      <c r="H49" s="23" t="str">
        <f aca="false">IF($A49="","",COUNTIFS('수집 현황'!$B$6:$B$105,$A49,'수집 현황'!$C$6:$C$105,H$5,'수집 현황'!$AA$6:$AA$105,"PASS"))</f>
        <v/>
      </c>
      <c r="I49" s="23" t="str">
        <f aca="false">IF($A49="","",COUNTIFS('수집 현황'!$B$6:$B$105,$A49,'수집 현황'!$C$6:$C$105,I$5,'수집 현황'!$AA$6:$AA$105,"PASS"))</f>
        <v/>
      </c>
      <c r="J49" s="23" t="str">
        <f aca="false">IF($A49="","",COUNTIFS('수집 현황'!$B$6:$B$105,$A49,'수집 현황'!$C$6:$C$105,J$5,'수집 현황'!$AA$6:$AA$105,"PASS"))</f>
        <v/>
      </c>
      <c r="K49" s="22" t="str">
        <f aca="false">IF($A49="","",SUM(C49:J49))</f>
        <v/>
      </c>
      <c r="L49" s="22" t="str">
        <f aca="false">IF($A49="","",COUNTIF(C49:J49,"&lt;"&amp;$C$3))</f>
        <v/>
      </c>
      <c r="M49" s="21" t="str">
        <f aca="false">IF($A49="","",IF(L49=0,"완료",L49&amp;"종 부족"))</f>
        <v/>
      </c>
    </row>
    <row r="50" customFormat="false" ht="15" hidden="false" customHeight="false" outlineLevel="0" collapsed="false">
      <c r="A50" s="23" t="str">
        <f aca="false">IF('참가자 명단'!B50="","",'참가자 명단'!B50)</f>
        <v/>
      </c>
      <c r="B50" s="23" t="str">
        <f aca="false">IF('참가자 명단'!H50="","",'참가자 명단'!H50)</f>
        <v/>
      </c>
      <c r="C50" s="23" t="str">
        <f aca="false">IF($A50="","",COUNTIFS('수집 현황'!$B$6:$B$105,$A50,'수집 현황'!$C$6:$C$105,C$5,'수집 현황'!$AA$6:$AA$105,"PASS"))</f>
        <v/>
      </c>
      <c r="D50" s="23" t="str">
        <f aca="false">IF($A50="","",COUNTIFS('수집 현황'!$B$6:$B$105,$A50,'수집 현황'!$C$6:$C$105,D$5,'수집 현황'!$AA$6:$AA$105,"PASS"))</f>
        <v/>
      </c>
      <c r="E50" s="23" t="str">
        <f aca="false">IF($A50="","",COUNTIFS('수집 현황'!$B$6:$B$105,$A50,'수집 현황'!$C$6:$C$105,E$5,'수집 현황'!$AA$6:$AA$105,"PASS"))</f>
        <v/>
      </c>
      <c r="F50" s="23" t="str">
        <f aca="false">IF($A50="","",COUNTIFS('수집 현황'!$B$6:$B$105,$A50,'수집 현황'!$C$6:$C$105,F$5,'수집 현황'!$AA$6:$AA$105,"PASS"))</f>
        <v/>
      </c>
      <c r="G50" s="23" t="str">
        <f aca="false">IF($A50="","",COUNTIFS('수집 현황'!$B$6:$B$105,$A50,'수집 현황'!$C$6:$C$105,G$5,'수집 현황'!$AA$6:$AA$105,"PASS"))</f>
        <v/>
      </c>
      <c r="H50" s="23" t="str">
        <f aca="false">IF($A50="","",COUNTIFS('수집 현황'!$B$6:$B$105,$A50,'수집 현황'!$C$6:$C$105,H$5,'수집 현황'!$AA$6:$AA$105,"PASS"))</f>
        <v/>
      </c>
      <c r="I50" s="23" t="str">
        <f aca="false">IF($A50="","",COUNTIFS('수집 현황'!$B$6:$B$105,$A50,'수집 현황'!$C$6:$C$105,I$5,'수집 현황'!$AA$6:$AA$105,"PASS"))</f>
        <v/>
      </c>
      <c r="J50" s="23" t="str">
        <f aca="false">IF($A50="","",COUNTIFS('수집 현황'!$B$6:$B$105,$A50,'수집 현황'!$C$6:$C$105,J$5,'수집 현황'!$AA$6:$AA$105,"PASS"))</f>
        <v/>
      </c>
      <c r="K50" s="22" t="str">
        <f aca="false">IF($A50="","",SUM(C50:J50))</f>
        <v/>
      </c>
      <c r="L50" s="22" t="str">
        <f aca="false">IF($A50="","",COUNTIF(C50:J50,"&lt;"&amp;$C$3))</f>
        <v/>
      </c>
      <c r="M50" s="21" t="str">
        <f aca="false">IF($A50="","",IF(L50=0,"완료",L50&amp;"종 부족"))</f>
        <v/>
      </c>
    </row>
    <row r="51" customFormat="false" ht="15" hidden="false" customHeight="false" outlineLevel="0" collapsed="false">
      <c r="A51" s="23" t="str">
        <f aca="false">IF('참가자 명단'!B51="","",'참가자 명단'!B51)</f>
        <v/>
      </c>
      <c r="B51" s="23" t="str">
        <f aca="false">IF('참가자 명단'!H51="","",'참가자 명단'!H51)</f>
        <v/>
      </c>
      <c r="C51" s="23" t="str">
        <f aca="false">IF($A51="","",COUNTIFS('수집 현황'!$B$6:$B$105,$A51,'수집 현황'!$C$6:$C$105,C$5,'수집 현황'!$AA$6:$AA$105,"PASS"))</f>
        <v/>
      </c>
      <c r="D51" s="23" t="str">
        <f aca="false">IF($A51="","",COUNTIFS('수집 현황'!$B$6:$B$105,$A51,'수집 현황'!$C$6:$C$105,D$5,'수집 현황'!$AA$6:$AA$105,"PASS"))</f>
        <v/>
      </c>
      <c r="E51" s="23" t="str">
        <f aca="false">IF($A51="","",COUNTIFS('수집 현황'!$B$6:$B$105,$A51,'수집 현황'!$C$6:$C$105,E$5,'수집 현황'!$AA$6:$AA$105,"PASS"))</f>
        <v/>
      </c>
      <c r="F51" s="23" t="str">
        <f aca="false">IF($A51="","",COUNTIFS('수집 현황'!$B$6:$B$105,$A51,'수집 현황'!$C$6:$C$105,F$5,'수집 현황'!$AA$6:$AA$105,"PASS"))</f>
        <v/>
      </c>
      <c r="G51" s="23" t="str">
        <f aca="false">IF($A51="","",COUNTIFS('수집 현황'!$B$6:$B$105,$A51,'수집 현황'!$C$6:$C$105,G$5,'수집 현황'!$AA$6:$AA$105,"PASS"))</f>
        <v/>
      </c>
      <c r="H51" s="23" t="str">
        <f aca="false">IF($A51="","",COUNTIFS('수집 현황'!$B$6:$B$105,$A51,'수집 현황'!$C$6:$C$105,H$5,'수집 현황'!$AA$6:$AA$105,"PASS"))</f>
        <v/>
      </c>
      <c r="I51" s="23" t="str">
        <f aca="false">IF($A51="","",COUNTIFS('수집 현황'!$B$6:$B$105,$A51,'수집 현황'!$C$6:$C$105,I$5,'수집 현황'!$AA$6:$AA$105,"PASS"))</f>
        <v/>
      </c>
      <c r="J51" s="23" t="str">
        <f aca="false">IF($A51="","",COUNTIFS('수집 현황'!$B$6:$B$105,$A51,'수집 현황'!$C$6:$C$105,J$5,'수집 현황'!$AA$6:$AA$105,"PASS"))</f>
        <v/>
      </c>
      <c r="K51" s="22" t="str">
        <f aca="false">IF($A51="","",SUM(C51:J51))</f>
        <v/>
      </c>
      <c r="L51" s="22" t="str">
        <f aca="false">IF($A51="","",COUNTIF(C51:J51,"&lt;"&amp;$C$3))</f>
        <v/>
      </c>
      <c r="M51" s="21" t="str">
        <f aca="false">IF($A51="","",IF(L51=0,"완료",L51&amp;"종 부족"))</f>
        <v/>
      </c>
    </row>
    <row r="52" customFormat="false" ht="15" hidden="false" customHeight="false" outlineLevel="0" collapsed="false">
      <c r="A52" s="23" t="str">
        <f aca="false">IF('참가자 명단'!B52="","",'참가자 명단'!B52)</f>
        <v/>
      </c>
      <c r="B52" s="23" t="str">
        <f aca="false">IF('참가자 명단'!H52="","",'참가자 명단'!H52)</f>
        <v/>
      </c>
      <c r="C52" s="23" t="str">
        <f aca="false">IF($A52="","",COUNTIFS('수집 현황'!$B$6:$B$105,$A52,'수집 현황'!$C$6:$C$105,C$5,'수집 현황'!$AA$6:$AA$105,"PASS"))</f>
        <v/>
      </c>
      <c r="D52" s="23" t="str">
        <f aca="false">IF($A52="","",COUNTIFS('수집 현황'!$B$6:$B$105,$A52,'수집 현황'!$C$6:$C$105,D$5,'수집 현황'!$AA$6:$AA$105,"PASS"))</f>
        <v/>
      </c>
      <c r="E52" s="23" t="str">
        <f aca="false">IF($A52="","",COUNTIFS('수집 현황'!$B$6:$B$105,$A52,'수집 현황'!$C$6:$C$105,E$5,'수집 현황'!$AA$6:$AA$105,"PASS"))</f>
        <v/>
      </c>
      <c r="F52" s="23" t="str">
        <f aca="false">IF($A52="","",COUNTIFS('수집 현황'!$B$6:$B$105,$A52,'수집 현황'!$C$6:$C$105,F$5,'수집 현황'!$AA$6:$AA$105,"PASS"))</f>
        <v/>
      </c>
      <c r="G52" s="23" t="str">
        <f aca="false">IF($A52="","",COUNTIFS('수집 현황'!$B$6:$B$105,$A52,'수집 현황'!$C$6:$C$105,G$5,'수집 현황'!$AA$6:$AA$105,"PASS"))</f>
        <v/>
      </c>
      <c r="H52" s="23" t="str">
        <f aca="false">IF($A52="","",COUNTIFS('수집 현황'!$B$6:$B$105,$A52,'수집 현황'!$C$6:$C$105,H$5,'수집 현황'!$AA$6:$AA$105,"PASS"))</f>
        <v/>
      </c>
      <c r="I52" s="23" t="str">
        <f aca="false">IF($A52="","",COUNTIFS('수집 현황'!$B$6:$B$105,$A52,'수집 현황'!$C$6:$C$105,I$5,'수집 현황'!$AA$6:$AA$105,"PASS"))</f>
        <v/>
      </c>
      <c r="J52" s="23" t="str">
        <f aca="false">IF($A52="","",COUNTIFS('수집 현황'!$B$6:$B$105,$A52,'수집 현황'!$C$6:$C$105,J$5,'수집 현황'!$AA$6:$AA$105,"PASS"))</f>
        <v/>
      </c>
      <c r="K52" s="22" t="str">
        <f aca="false">IF($A52="","",SUM(C52:J52))</f>
        <v/>
      </c>
      <c r="L52" s="22" t="str">
        <f aca="false">IF($A52="","",COUNTIF(C52:J52,"&lt;"&amp;$C$3))</f>
        <v/>
      </c>
      <c r="M52" s="21" t="str">
        <f aca="false">IF($A52="","",IF(L52=0,"완료",L52&amp;"종 부족"))</f>
        <v/>
      </c>
    </row>
    <row r="53" customFormat="false" ht="15" hidden="false" customHeight="false" outlineLevel="0" collapsed="false">
      <c r="A53" s="23" t="str">
        <f aca="false">IF('참가자 명단'!B53="","",'참가자 명단'!B53)</f>
        <v/>
      </c>
      <c r="B53" s="23" t="str">
        <f aca="false">IF('참가자 명단'!H53="","",'참가자 명단'!H53)</f>
        <v/>
      </c>
      <c r="C53" s="23" t="str">
        <f aca="false">IF($A53="","",COUNTIFS('수집 현황'!$B$6:$B$105,$A53,'수집 현황'!$C$6:$C$105,C$5,'수집 현황'!$AA$6:$AA$105,"PASS"))</f>
        <v/>
      </c>
      <c r="D53" s="23" t="str">
        <f aca="false">IF($A53="","",COUNTIFS('수집 현황'!$B$6:$B$105,$A53,'수집 현황'!$C$6:$C$105,D$5,'수집 현황'!$AA$6:$AA$105,"PASS"))</f>
        <v/>
      </c>
      <c r="E53" s="23" t="str">
        <f aca="false">IF($A53="","",COUNTIFS('수집 현황'!$B$6:$B$105,$A53,'수집 현황'!$C$6:$C$105,E$5,'수집 현황'!$AA$6:$AA$105,"PASS"))</f>
        <v/>
      </c>
      <c r="F53" s="23" t="str">
        <f aca="false">IF($A53="","",COUNTIFS('수집 현황'!$B$6:$B$105,$A53,'수집 현황'!$C$6:$C$105,F$5,'수집 현황'!$AA$6:$AA$105,"PASS"))</f>
        <v/>
      </c>
      <c r="G53" s="23" t="str">
        <f aca="false">IF($A53="","",COUNTIFS('수집 현황'!$B$6:$B$105,$A53,'수집 현황'!$C$6:$C$105,G$5,'수집 현황'!$AA$6:$AA$105,"PASS"))</f>
        <v/>
      </c>
      <c r="H53" s="23" t="str">
        <f aca="false">IF($A53="","",COUNTIFS('수집 현황'!$B$6:$B$105,$A53,'수집 현황'!$C$6:$C$105,H$5,'수집 현황'!$AA$6:$AA$105,"PASS"))</f>
        <v/>
      </c>
      <c r="I53" s="23" t="str">
        <f aca="false">IF($A53="","",COUNTIFS('수집 현황'!$B$6:$B$105,$A53,'수집 현황'!$C$6:$C$105,I$5,'수집 현황'!$AA$6:$AA$105,"PASS"))</f>
        <v/>
      </c>
      <c r="J53" s="23" t="str">
        <f aca="false">IF($A53="","",COUNTIFS('수집 현황'!$B$6:$B$105,$A53,'수집 현황'!$C$6:$C$105,J$5,'수집 현황'!$AA$6:$AA$105,"PASS"))</f>
        <v/>
      </c>
      <c r="K53" s="22" t="str">
        <f aca="false">IF($A53="","",SUM(C53:J53))</f>
        <v/>
      </c>
      <c r="L53" s="22" t="str">
        <f aca="false">IF($A53="","",COUNTIF(C53:J53,"&lt;"&amp;$C$3))</f>
        <v/>
      </c>
      <c r="M53" s="21" t="str">
        <f aca="false">IF($A53="","",IF(L53=0,"완료",L53&amp;"종 부족"))</f>
        <v/>
      </c>
    </row>
    <row r="54" customFormat="false" ht="15" hidden="false" customHeight="false" outlineLevel="0" collapsed="false">
      <c r="A54" s="23" t="str">
        <f aca="false">IF('참가자 명단'!B54="","",'참가자 명단'!B54)</f>
        <v/>
      </c>
      <c r="B54" s="23" t="str">
        <f aca="false">IF('참가자 명단'!H54="","",'참가자 명단'!H54)</f>
        <v/>
      </c>
      <c r="C54" s="23" t="str">
        <f aca="false">IF($A54="","",COUNTIFS('수집 현황'!$B$6:$B$105,$A54,'수집 현황'!$C$6:$C$105,C$5,'수집 현황'!$AA$6:$AA$105,"PASS"))</f>
        <v/>
      </c>
      <c r="D54" s="23" t="str">
        <f aca="false">IF($A54="","",COUNTIFS('수집 현황'!$B$6:$B$105,$A54,'수집 현황'!$C$6:$C$105,D$5,'수집 현황'!$AA$6:$AA$105,"PASS"))</f>
        <v/>
      </c>
      <c r="E54" s="23" t="str">
        <f aca="false">IF($A54="","",COUNTIFS('수집 현황'!$B$6:$B$105,$A54,'수집 현황'!$C$6:$C$105,E$5,'수집 현황'!$AA$6:$AA$105,"PASS"))</f>
        <v/>
      </c>
      <c r="F54" s="23" t="str">
        <f aca="false">IF($A54="","",COUNTIFS('수집 현황'!$B$6:$B$105,$A54,'수집 현황'!$C$6:$C$105,F$5,'수집 현황'!$AA$6:$AA$105,"PASS"))</f>
        <v/>
      </c>
      <c r="G54" s="23" t="str">
        <f aca="false">IF($A54="","",COUNTIFS('수집 현황'!$B$6:$B$105,$A54,'수집 현황'!$C$6:$C$105,G$5,'수집 현황'!$AA$6:$AA$105,"PASS"))</f>
        <v/>
      </c>
      <c r="H54" s="23" t="str">
        <f aca="false">IF($A54="","",COUNTIFS('수집 현황'!$B$6:$B$105,$A54,'수집 현황'!$C$6:$C$105,H$5,'수집 현황'!$AA$6:$AA$105,"PASS"))</f>
        <v/>
      </c>
      <c r="I54" s="23" t="str">
        <f aca="false">IF($A54="","",COUNTIFS('수집 현황'!$B$6:$B$105,$A54,'수집 현황'!$C$6:$C$105,I$5,'수집 현황'!$AA$6:$AA$105,"PASS"))</f>
        <v/>
      </c>
      <c r="J54" s="23" t="str">
        <f aca="false">IF($A54="","",COUNTIFS('수집 현황'!$B$6:$B$105,$A54,'수집 현황'!$C$6:$C$105,J$5,'수집 현황'!$AA$6:$AA$105,"PASS"))</f>
        <v/>
      </c>
      <c r="K54" s="22" t="str">
        <f aca="false">IF($A54="","",SUM(C54:J54))</f>
        <v/>
      </c>
      <c r="L54" s="22" t="str">
        <f aca="false">IF($A54="","",COUNTIF(C54:J54,"&lt;"&amp;$C$3))</f>
        <v/>
      </c>
      <c r="M54" s="21" t="str">
        <f aca="false">IF($A54="","",IF(L54=0,"완료",L54&amp;"종 부족"))</f>
        <v/>
      </c>
    </row>
    <row r="55" customFormat="false" ht="15" hidden="false" customHeight="false" outlineLevel="0" collapsed="false">
      <c r="A55" s="23" t="str">
        <f aca="false">IF('참가자 명단'!B55="","",'참가자 명단'!B55)</f>
        <v/>
      </c>
      <c r="B55" s="23" t="str">
        <f aca="false">IF('참가자 명단'!H55="","",'참가자 명단'!H55)</f>
        <v/>
      </c>
      <c r="C55" s="23" t="str">
        <f aca="false">IF($A55="","",COUNTIFS('수집 현황'!$B$6:$B$105,$A55,'수집 현황'!$C$6:$C$105,C$5,'수집 현황'!$AA$6:$AA$105,"PASS"))</f>
        <v/>
      </c>
      <c r="D55" s="23" t="str">
        <f aca="false">IF($A55="","",COUNTIFS('수집 현황'!$B$6:$B$105,$A55,'수집 현황'!$C$6:$C$105,D$5,'수집 현황'!$AA$6:$AA$105,"PASS"))</f>
        <v/>
      </c>
      <c r="E55" s="23" t="str">
        <f aca="false">IF($A55="","",COUNTIFS('수집 현황'!$B$6:$B$105,$A55,'수집 현황'!$C$6:$C$105,E$5,'수집 현황'!$AA$6:$AA$105,"PASS"))</f>
        <v/>
      </c>
      <c r="F55" s="23" t="str">
        <f aca="false">IF($A55="","",COUNTIFS('수집 현황'!$B$6:$B$105,$A55,'수집 현황'!$C$6:$C$105,F$5,'수집 현황'!$AA$6:$AA$105,"PASS"))</f>
        <v/>
      </c>
      <c r="G55" s="23" t="str">
        <f aca="false">IF($A55="","",COUNTIFS('수집 현황'!$B$6:$B$105,$A55,'수집 현황'!$C$6:$C$105,G$5,'수집 현황'!$AA$6:$AA$105,"PASS"))</f>
        <v/>
      </c>
      <c r="H55" s="23" t="str">
        <f aca="false">IF($A55="","",COUNTIFS('수집 현황'!$B$6:$B$105,$A55,'수집 현황'!$C$6:$C$105,H$5,'수집 현황'!$AA$6:$AA$105,"PASS"))</f>
        <v/>
      </c>
      <c r="I55" s="23" t="str">
        <f aca="false">IF($A55="","",COUNTIFS('수집 현황'!$B$6:$B$105,$A55,'수집 현황'!$C$6:$C$105,I$5,'수집 현황'!$AA$6:$AA$105,"PASS"))</f>
        <v/>
      </c>
      <c r="J55" s="23" t="str">
        <f aca="false">IF($A55="","",COUNTIFS('수집 현황'!$B$6:$B$105,$A55,'수집 현황'!$C$6:$C$105,J$5,'수집 현황'!$AA$6:$AA$105,"PASS"))</f>
        <v/>
      </c>
      <c r="K55" s="22" t="str">
        <f aca="false">IF($A55="","",SUM(C55:J55))</f>
        <v/>
      </c>
      <c r="L55" s="22" t="str">
        <f aca="false">IF($A55="","",COUNTIF(C55:J55,"&lt;"&amp;$C$3))</f>
        <v/>
      </c>
      <c r="M55" s="21" t="str">
        <f aca="false">IF($A55="","",IF(L55=0,"완료",L55&amp;"종 부족"))</f>
        <v/>
      </c>
    </row>
    <row r="56" customFormat="false" ht="15" hidden="false" customHeight="false" outlineLevel="0" collapsed="false">
      <c r="A56" s="52" t="s">
        <v>432</v>
      </c>
      <c r="B56" s="9"/>
      <c r="C56" s="52" t="n">
        <f aca="false">SUM(C6:C55)</f>
        <v>2</v>
      </c>
      <c r="D56" s="52" t="n">
        <f aca="false">SUM(D6:D55)</f>
        <v>4</v>
      </c>
      <c r="E56" s="52" t="n">
        <f aca="false">SUM(E6:E55)</f>
        <v>3</v>
      </c>
      <c r="F56" s="52" t="n">
        <f aca="false">SUM(F6:F55)</f>
        <v>4</v>
      </c>
      <c r="G56" s="52" t="n">
        <f aca="false">SUM(G6:G55)</f>
        <v>4</v>
      </c>
      <c r="H56" s="52" t="n">
        <f aca="false">SUM(H6:H55)</f>
        <v>3</v>
      </c>
      <c r="I56" s="52" t="n">
        <f aca="false">SUM(I6:I55)</f>
        <v>3</v>
      </c>
      <c r="J56" s="52" t="n">
        <f aca="false">SUM(J6:J55)</f>
        <v>2</v>
      </c>
      <c r="K56" s="52" t="n">
        <f aca="false">SUM(K6:K55)</f>
        <v>25</v>
      </c>
    </row>
  </sheetData>
  <conditionalFormatting sqref="C6:J55">
    <cfRule type="expression" priority="2" aboveAverage="0" equalAverage="0" bottom="0" percent="0" rank="0" text="" dxfId="0">
      <formula>AND($A6&lt;&gt;"",C6=0)</formula>
    </cfRule>
    <cfRule type="expression" priority="3" aboveAverage="0" equalAverage="0" bottom="0" percent="0" rank="0" text="" dxfId="2">
      <formula>AND($A6&lt;&gt;"",C6&gt;0,C6&lt;$C$3)</formula>
    </cfRule>
    <cfRule type="expression" priority="4" aboveAverage="0" equalAverage="0" bottom="0" percent="0" rank="0" text="" dxfId="1">
      <formula>AND($A6&lt;&gt;"",C6&gt;=$C$3)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I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9" min="5" style="0" width="12"/>
  </cols>
  <sheetData>
    <row r="1" customFormat="false" ht="23.1" hidden="false" customHeight="false" outlineLevel="0" collapsed="false">
      <c r="A1" s="1" t="s">
        <v>433</v>
      </c>
    </row>
    <row r="2" customFormat="false" ht="15" hidden="false" customHeight="false" outlineLevel="0" collapsed="false">
      <c r="A2" s="2" t="s">
        <v>434</v>
      </c>
    </row>
    <row r="5" customFormat="false" ht="31.5" hidden="false" customHeight="true" outlineLevel="0" collapsed="false">
      <c r="A5" s="6" t="s">
        <v>15</v>
      </c>
      <c r="B5" s="6" t="s">
        <v>337</v>
      </c>
      <c r="C5" s="6" t="s">
        <v>435</v>
      </c>
      <c r="D5" s="6" t="s">
        <v>436</v>
      </c>
      <c r="E5" s="6" t="s">
        <v>437</v>
      </c>
      <c r="F5" s="6" t="s">
        <v>438</v>
      </c>
      <c r="G5" s="6" t="s">
        <v>439</v>
      </c>
      <c r="H5" s="6" t="s">
        <v>440</v>
      </c>
      <c r="I5" s="6" t="s">
        <v>441</v>
      </c>
    </row>
    <row r="6" customFormat="false" ht="15" hidden="false" customHeight="false" outlineLevel="0" collapsed="false">
      <c r="A6" s="7" t="s">
        <v>20</v>
      </c>
      <c r="B6" s="8" t="s">
        <v>21</v>
      </c>
      <c r="C6" s="9" t="s">
        <v>442</v>
      </c>
      <c r="D6" s="23" t="n">
        <f aca="false">COUNTIFS('수집 현황'!$C$6:$C$105,$B6,'수집 현황'!$H$6:$H$105,"&lt;&gt;")</f>
        <v>2</v>
      </c>
      <c r="E6" s="53" t="n">
        <f aca="false">IF($D6=0,"",_xlfn.MINIFS('수집 현황'!$H$6:$H$105,'수집 현황'!$C$6:$C$105,$B6))</f>
        <v>0</v>
      </c>
      <c r="F6" s="53" t="n">
        <f aca="false">IF($D6=0,"",AVERAGEIFS('수집 현황'!$H$6:$H$105,'수집 현황'!$C$6:$C$105,$B6))</f>
        <v>0</v>
      </c>
      <c r="G6" s="53" t="n">
        <f aca="false">IF($D6=0,"",_xlfn.MAXIFS('수집 현황'!$H$6:$H$105,'수집 현황'!$C$6:$C$105,$B6))</f>
        <v>0</v>
      </c>
      <c r="H6" s="53" t="str">
        <f aca="false">IF('합격 기준 수치표'!D6="","",'합격 기준 수치표'!D6)</f>
        <v/>
      </c>
      <c r="I6" s="53" t="n">
        <f aca="false">IF('합격 기준 수치표'!E6="","",'합격 기준 수치표'!E6)</f>
        <v>300</v>
      </c>
    </row>
    <row r="7" customFormat="false" ht="15" hidden="false" customHeight="false" outlineLevel="0" collapsed="false">
      <c r="A7" s="7" t="s">
        <v>20</v>
      </c>
      <c r="B7" s="8" t="s">
        <v>21</v>
      </c>
      <c r="C7" s="9" t="s">
        <v>443</v>
      </c>
      <c r="D7" s="23" t="n">
        <f aca="false">COUNTIFS('수집 현황'!$C$6:$C$105,$B7,'수집 현황'!$I$6:$I$105,"&lt;&gt;")</f>
        <v>2</v>
      </c>
      <c r="E7" s="53" t="n">
        <f aca="false">IF($D7=0,"",_xlfn.MINIFS('수집 현황'!$I$6:$I$105,'수집 현황'!$C$6:$C$105,$B7))</f>
        <v>0</v>
      </c>
      <c r="F7" s="53" t="n">
        <f aca="false">IF($D7=0,"",AVERAGEIFS('수집 현황'!$I$6:$I$105,'수집 현황'!$C$6:$C$105,$B7))</f>
        <v>0</v>
      </c>
      <c r="G7" s="53" t="n">
        <f aca="false">IF($D7=0,"",_xlfn.MAXIFS('수집 현황'!$I$6:$I$105,'수집 현황'!$C$6:$C$105,$B7))</f>
        <v>0</v>
      </c>
      <c r="H7" s="53" t="str">
        <f aca="false">IF('합격 기준 수치표'!F6="","",'합격 기준 수치표'!F6)</f>
        <v/>
      </c>
      <c r="I7" s="53" t="n">
        <f aca="false">IF('합격 기준 수치표'!G6="","",'합격 기준 수치표'!G6)</f>
        <v>100</v>
      </c>
    </row>
    <row r="8" customFormat="false" ht="15" hidden="false" customHeight="false" outlineLevel="0" collapsed="false">
      <c r="A8" s="7" t="s">
        <v>20</v>
      </c>
      <c r="B8" s="8" t="s">
        <v>21</v>
      </c>
      <c r="C8" s="9" t="s">
        <v>444</v>
      </c>
      <c r="D8" s="23" t="n">
        <f aca="false">COUNTIFS('수집 현황'!$C$6:$C$105,$B8,'수집 현황'!$J$6:$J$105,"&lt;&gt;")</f>
        <v>0</v>
      </c>
      <c r="E8" s="54" t="str">
        <f aca="false">IF($D8=0,"",_xlfn.MINIFS('수집 현황'!$J$6:$J$105,'수집 현황'!$C$6:$C$105,$B8))</f>
        <v/>
      </c>
      <c r="F8" s="54" t="str">
        <f aca="false">IF($D8=0,"",AVERAGEIFS('수집 현황'!$J$6:$J$105,'수집 현황'!$C$6:$C$105,$B8))</f>
        <v/>
      </c>
      <c r="G8" s="54" t="str">
        <f aca="false">IF($D8=0,"",_xlfn.MAXIFS('수집 현황'!$J$6:$J$105,'수집 현황'!$C$6:$C$105,$B8))</f>
        <v/>
      </c>
      <c r="H8" s="54" t="str">
        <f aca="false">IF('합격 기준 수치표'!H6="","",'합격 기준 수치표'!H6)</f>
        <v/>
      </c>
      <c r="I8" s="54" t="str">
        <f aca="false">IF('합격 기준 수치표'!I6="","",'합격 기준 수치표'!I6)</f>
        <v/>
      </c>
    </row>
    <row r="9" customFormat="false" ht="15" hidden="false" customHeight="false" outlineLevel="0" collapsed="false">
      <c r="A9" s="7" t="s">
        <v>20</v>
      </c>
      <c r="B9" s="8" t="s">
        <v>21</v>
      </c>
      <c r="C9" s="9" t="s">
        <v>445</v>
      </c>
      <c r="D9" s="23" t="n">
        <f aca="false">COUNTIFS('수집 현황'!$C$6:$C$105,$B9,'수집 현황'!$K$6:$K$105,"&lt;&gt;")</f>
        <v>0</v>
      </c>
      <c r="E9" s="54" t="str">
        <f aca="false">IF($D9=0,"",_xlfn.MINIFS('수집 현황'!$K$6:$K$105,'수집 현황'!$C$6:$C$105,$B9))</f>
        <v/>
      </c>
      <c r="F9" s="54" t="str">
        <f aca="false">IF($D9=0,"",AVERAGEIFS('수집 현황'!$K$6:$K$105,'수집 현황'!$C$6:$C$105,$B9))</f>
        <v/>
      </c>
      <c r="G9" s="54" t="str">
        <f aca="false">IF($D9=0,"",_xlfn.MAXIFS('수집 현황'!$K$6:$K$105,'수집 현황'!$C$6:$C$105,$B9))</f>
        <v/>
      </c>
      <c r="H9" s="54" t="str">
        <f aca="false">IF('합격 기준 수치표'!J6="","",'합격 기준 수치표'!J6)</f>
        <v/>
      </c>
      <c r="I9" s="54" t="str">
        <f aca="false">IF('합격 기준 수치표'!K6="","",'합격 기준 수치표'!K6)</f>
        <v/>
      </c>
    </row>
    <row r="10" customFormat="false" ht="15" hidden="false" customHeight="false" outlineLevel="0" collapsed="false">
      <c r="A10" s="7" t="s">
        <v>20</v>
      </c>
      <c r="B10" s="8" t="s">
        <v>21</v>
      </c>
      <c r="C10" s="9" t="s">
        <v>446</v>
      </c>
      <c r="D10" s="23" t="n">
        <f aca="false">COUNTIFS('수집 현황'!$C$6:$C$105,$B10,'수집 현황'!$L$6:$L$105,"&lt;&gt;")</f>
        <v>0</v>
      </c>
      <c r="E10" s="54" t="str">
        <f aca="false">IF($D10=0,"",_xlfn.MINIFS('수집 현황'!$L$6:$L$105,'수집 현황'!$C$6:$C$105,$B10))</f>
        <v/>
      </c>
      <c r="F10" s="54" t="str">
        <f aca="false">IF($D10=0,"",AVERAGEIFS('수집 현황'!$L$6:$L$105,'수집 현황'!$C$6:$C$105,$B10))</f>
        <v/>
      </c>
      <c r="G10" s="54" t="str">
        <f aca="false">IF($D10=0,"",_xlfn.MAXIFS('수집 현황'!$L$6:$L$105,'수집 현황'!$C$6:$C$105,$B10))</f>
        <v/>
      </c>
      <c r="H10" s="54" t="str">
        <f aca="false">IF('합격 기준 수치표'!L6="","",'합격 기준 수치표'!L6)</f>
        <v/>
      </c>
      <c r="I10" s="54" t="str">
        <f aca="false">IF('합격 기준 수치표'!M6="","",'합격 기준 수치표'!M6)</f>
        <v/>
      </c>
    </row>
    <row r="11" customFormat="false" ht="15" hidden="false" customHeight="false" outlineLevel="0" collapsed="false">
      <c r="A11" s="7" t="s">
        <v>20</v>
      </c>
      <c r="B11" s="8" t="s">
        <v>21</v>
      </c>
      <c r="C11" s="9" t="s">
        <v>447</v>
      </c>
      <c r="D11" s="23" t="n">
        <f aca="false">COUNTIFS('수집 현황'!$C$6:$C$105,$B11,'수집 현황'!$M$6:$M$105,"&lt;&gt;")</f>
        <v>0</v>
      </c>
      <c r="E11" s="54" t="str">
        <f aca="false">IF($D11=0,"",_xlfn.MINIFS('수집 현황'!$M$6:$M$105,'수집 현황'!$C$6:$C$105,$B11))</f>
        <v/>
      </c>
      <c r="F11" s="54" t="str">
        <f aca="false">IF($D11=0,"",AVERAGEIFS('수집 현황'!$M$6:$M$105,'수집 현황'!$C$6:$C$105,$B11))</f>
        <v/>
      </c>
      <c r="G11" s="54" t="str">
        <f aca="false">IF($D11=0,"",_xlfn.MAXIFS('수집 현황'!$M$6:$M$105,'수집 현황'!$C$6:$C$105,$B11))</f>
        <v/>
      </c>
      <c r="H11" s="54" t="str">
        <f aca="false">IF('합격 기준 수치표'!N6="","",'합격 기준 수치표'!N6)</f>
        <v/>
      </c>
      <c r="I11" s="54" t="str">
        <f aca="false">IF('합격 기준 수치표'!O6="","",'합격 기준 수치표'!O6)</f>
        <v/>
      </c>
    </row>
    <row r="12" customFormat="false" ht="15" hidden="false" customHeight="false" outlineLevel="0" collapsed="false">
      <c r="A12" s="7" t="s">
        <v>20</v>
      </c>
      <c r="B12" s="8" t="s">
        <v>21</v>
      </c>
      <c r="C12" s="9" t="s">
        <v>448</v>
      </c>
      <c r="D12" s="23" t="n">
        <f aca="false">COUNTIFS('수집 현황'!$C$6:$C$105,$B12,'수집 현황'!$N$6:$N$105,"&lt;&gt;")</f>
        <v>2</v>
      </c>
      <c r="E12" s="55" t="n">
        <f aca="false">IF($D12=0,"",_xlfn.MINIFS('수집 현황'!$N$6:$N$105,'수집 현황'!$C$6:$C$105,$B12))</f>
        <v>0</v>
      </c>
      <c r="F12" s="55" t="n">
        <f aca="false">IF($D12=0,"",AVERAGEIFS('수집 현황'!$N$6:$N$105,'수집 현황'!$C$6:$C$105,$B12))</f>
        <v>0</v>
      </c>
      <c r="G12" s="55" t="n">
        <f aca="false">IF($D12=0,"",_xlfn.MAXIFS('수집 현황'!$N$6:$N$105,'수집 현황'!$C$6:$C$105,$B12))</f>
        <v>0</v>
      </c>
      <c r="H12" s="55" t="str">
        <f aca="false">IF('합격 기준 수치표'!P6="","",'합격 기준 수치표'!P6)</f>
        <v/>
      </c>
      <c r="I12" s="55" t="str">
        <f aca="false">IF('합격 기준 수치표'!Q6="","",'합격 기준 수치표'!Q6)</f>
        <v/>
      </c>
    </row>
    <row r="13" customFormat="false" ht="15" hidden="false" customHeight="false" outlineLevel="0" collapsed="false">
      <c r="A13" s="7" t="s">
        <v>24</v>
      </c>
      <c r="B13" s="8" t="s">
        <v>25</v>
      </c>
      <c r="C13" s="9" t="s">
        <v>442</v>
      </c>
      <c r="D13" s="23" t="n">
        <f aca="false">COUNTIFS('수집 현황'!$C$6:$C$105,$B13,'수집 현황'!$H$6:$H$105,"&lt;&gt;")</f>
        <v>4</v>
      </c>
      <c r="E13" s="53" t="n">
        <f aca="false">IF($D13=0,"",_xlfn.MINIFS('수집 현황'!$H$6:$H$105,'수집 현황'!$C$6:$C$105,$B13))</f>
        <v>12273</v>
      </c>
      <c r="F13" s="53" t="n">
        <f aca="false">IF($D13=0,"",AVERAGEIFS('수집 현황'!$H$6:$H$105,'수집 현황'!$C$6:$C$105,$B13))</f>
        <v>13596.25</v>
      </c>
      <c r="G13" s="53" t="n">
        <f aca="false">IF($D13=0,"",_xlfn.MAXIFS('수집 현황'!$H$6:$H$105,'수집 현황'!$C$6:$C$105,$B13))</f>
        <v>15766</v>
      </c>
      <c r="H13" s="53" t="n">
        <f aca="false">IF('합격 기준 수치표'!D7="","",'합격 기준 수치표'!D7)</f>
        <v>6000</v>
      </c>
      <c r="I13" s="53" t="str">
        <f aca="false">IF('합격 기준 수치표'!E7="","",'합격 기준 수치표'!E7)</f>
        <v/>
      </c>
    </row>
    <row r="14" customFormat="false" ht="15" hidden="false" customHeight="false" outlineLevel="0" collapsed="false">
      <c r="A14" s="7" t="s">
        <v>24</v>
      </c>
      <c r="B14" s="8" t="s">
        <v>25</v>
      </c>
      <c r="C14" s="9" t="s">
        <v>443</v>
      </c>
      <c r="D14" s="23" t="n">
        <f aca="false">COUNTIFS('수집 현황'!$C$6:$C$105,$B14,'수집 현황'!$I$6:$I$105,"&lt;&gt;")</f>
        <v>4</v>
      </c>
      <c r="E14" s="53" t="n">
        <f aca="false">IF($D14=0,"",_xlfn.MINIFS('수집 현황'!$I$6:$I$105,'수집 현황'!$C$6:$C$105,$B14))</f>
        <v>1471</v>
      </c>
      <c r="F14" s="53" t="n">
        <f aca="false">IF($D14=0,"",AVERAGEIFS('수집 현황'!$I$6:$I$105,'수집 현황'!$C$6:$C$105,$B14))</f>
        <v>2713.5</v>
      </c>
      <c r="G14" s="53" t="n">
        <f aca="false">IF($D14=0,"",_xlfn.MAXIFS('수집 현황'!$I$6:$I$105,'수집 현황'!$C$6:$C$105,$B14))</f>
        <v>4050</v>
      </c>
      <c r="H14" s="53" t="n">
        <f aca="false">IF('합격 기준 수치표'!F7="","",'합격 기준 수치표'!F7)</f>
        <v>1000</v>
      </c>
      <c r="I14" s="53" t="str">
        <f aca="false">IF('합격 기준 수치표'!G7="","",'합격 기준 수치표'!G7)</f>
        <v/>
      </c>
    </row>
    <row r="15" customFormat="false" ht="15" hidden="false" customHeight="false" outlineLevel="0" collapsed="false">
      <c r="A15" s="7" t="s">
        <v>24</v>
      </c>
      <c r="B15" s="8" t="s">
        <v>25</v>
      </c>
      <c r="C15" s="9" t="s">
        <v>444</v>
      </c>
      <c r="D15" s="23" t="n">
        <f aca="false">COUNTIFS('수집 현황'!$C$6:$C$105,$B15,'수집 현황'!$J$6:$J$105,"&lt;&gt;")</f>
        <v>4</v>
      </c>
      <c r="E15" s="54" t="n">
        <f aca="false">IF($D15=0,"",_xlfn.MINIFS('수집 현황'!$J$6:$J$105,'수집 현황'!$C$6:$C$105,$B15))</f>
        <v>32.7</v>
      </c>
      <c r="F15" s="54" t="n">
        <f aca="false">IF($D15=0,"",AVERAGEIFS('수집 현황'!$J$6:$J$105,'수집 현황'!$C$6:$C$105,$B15))</f>
        <v>38.825</v>
      </c>
      <c r="G15" s="54" t="n">
        <f aca="false">IF($D15=0,"",_xlfn.MAXIFS('수집 현황'!$J$6:$J$105,'수집 현황'!$C$6:$C$105,$B15))</f>
        <v>51.3</v>
      </c>
      <c r="H15" s="54" t="str">
        <f aca="false">IF('합격 기준 수치표'!H7="","",'합격 기준 수치표'!H7)</f>
        <v/>
      </c>
      <c r="I15" s="54" t="str">
        <f aca="false">IF('합격 기준 수치표'!I7="","",'합격 기준 수치표'!I7)</f>
        <v/>
      </c>
    </row>
    <row r="16" customFormat="false" ht="15" hidden="false" customHeight="false" outlineLevel="0" collapsed="false">
      <c r="A16" s="7" t="s">
        <v>24</v>
      </c>
      <c r="B16" s="8" t="s">
        <v>25</v>
      </c>
      <c r="C16" s="9" t="s">
        <v>445</v>
      </c>
      <c r="D16" s="23" t="n">
        <f aca="false">COUNTIFS('수집 현황'!$C$6:$C$105,$B16,'수집 현황'!$K$6:$K$105,"&lt;&gt;")</f>
        <v>4</v>
      </c>
      <c r="E16" s="54" t="n">
        <f aca="false">IF($D16=0,"",_xlfn.MINIFS('수집 현황'!$K$6:$K$105,'수집 현황'!$C$6:$C$105,$B16))</f>
        <v>45.2</v>
      </c>
      <c r="F16" s="54" t="n">
        <f aca="false">IF($D16=0,"",AVERAGEIFS('수집 현황'!$K$6:$K$105,'수집 현황'!$C$6:$C$105,$B16))</f>
        <v>49.75</v>
      </c>
      <c r="G16" s="54" t="n">
        <f aca="false">IF($D16=0,"",_xlfn.MAXIFS('수집 현황'!$K$6:$K$105,'수집 현황'!$C$6:$C$105,$B16))</f>
        <v>55.5</v>
      </c>
      <c r="H16" s="54" t="n">
        <f aca="false">IF('합격 기준 수치표'!J7="","",'합격 기준 수치표'!J7)</f>
        <v>40</v>
      </c>
      <c r="I16" s="54" t="n">
        <f aca="false">IF('합격 기준 수치표'!K7="","",'합격 기준 수치표'!K7)</f>
        <v>60</v>
      </c>
    </row>
    <row r="17" customFormat="false" ht="15" hidden="false" customHeight="false" outlineLevel="0" collapsed="false">
      <c r="A17" s="7" t="s">
        <v>24</v>
      </c>
      <c r="B17" s="8" t="s">
        <v>25</v>
      </c>
      <c r="C17" s="9" t="s">
        <v>446</v>
      </c>
      <c r="D17" s="23" t="n">
        <f aca="false">COUNTIFS('수집 현황'!$C$6:$C$105,$B17,'수집 현황'!$L$6:$L$105,"&lt;&gt;")</f>
        <v>4</v>
      </c>
      <c r="E17" s="54" t="n">
        <f aca="false">IF($D17=0,"",_xlfn.MINIFS('수집 현황'!$L$6:$L$105,'수집 현황'!$C$6:$C$105,$B17))</f>
        <v>44.7</v>
      </c>
      <c r="F17" s="54" t="n">
        <f aca="false">IF($D17=0,"",AVERAGEIFS('수집 현황'!$L$6:$L$105,'수집 현황'!$C$6:$C$105,$B17))</f>
        <v>64.925</v>
      </c>
      <c r="G17" s="54" t="n">
        <f aca="false">IF($D17=0,"",_xlfn.MAXIFS('수집 현황'!$L$6:$L$105,'수집 현황'!$C$6:$C$105,$B17))</f>
        <v>100</v>
      </c>
      <c r="H17" s="54" t="str">
        <f aca="false">IF('합격 기준 수치표'!L7="","",'합격 기준 수치표'!L7)</f>
        <v/>
      </c>
      <c r="I17" s="54" t="str">
        <f aca="false">IF('합격 기준 수치표'!M7="","",'합격 기준 수치표'!M7)</f>
        <v/>
      </c>
    </row>
    <row r="18" customFormat="false" ht="15" hidden="false" customHeight="false" outlineLevel="0" collapsed="false">
      <c r="A18" s="7" t="s">
        <v>24</v>
      </c>
      <c r="B18" s="8" t="s">
        <v>25</v>
      </c>
      <c r="C18" s="9" t="s">
        <v>447</v>
      </c>
      <c r="D18" s="23" t="n">
        <f aca="false">COUNTIFS('수집 현황'!$C$6:$C$105,$B18,'수집 현황'!$M$6:$M$105,"&lt;&gt;")</f>
        <v>4</v>
      </c>
      <c r="E18" s="54" t="n">
        <f aca="false">IF($D18=0,"",_xlfn.MINIFS('수집 현황'!$M$6:$M$105,'수집 현황'!$C$6:$C$105,$B18))</f>
        <v>0</v>
      </c>
      <c r="F18" s="54" t="n">
        <f aca="false">IF($D18=0,"",AVERAGEIFS('수집 현황'!$M$6:$M$105,'수집 현황'!$C$6:$C$105,$B18))</f>
        <v>6.1</v>
      </c>
      <c r="G18" s="54" t="n">
        <f aca="false">IF($D18=0,"",_xlfn.MAXIFS('수집 현황'!$M$6:$M$105,'수집 현황'!$C$6:$C$105,$B18))</f>
        <v>23</v>
      </c>
      <c r="H18" s="54" t="str">
        <f aca="false">IF('합격 기준 수치표'!N7="","",'합격 기준 수치표'!N7)</f>
        <v/>
      </c>
      <c r="I18" s="54" t="str">
        <f aca="false">IF('합격 기준 수치표'!O7="","",'합격 기준 수치표'!O7)</f>
        <v/>
      </c>
    </row>
    <row r="19" customFormat="false" ht="15" hidden="false" customHeight="false" outlineLevel="0" collapsed="false">
      <c r="A19" s="7" t="s">
        <v>24</v>
      </c>
      <c r="B19" s="8" t="s">
        <v>25</v>
      </c>
      <c r="C19" s="9" t="s">
        <v>448</v>
      </c>
      <c r="D19" s="23" t="n">
        <f aca="false">COUNTIFS('수집 현황'!$C$6:$C$105,$B19,'수집 현황'!$N$6:$N$105,"&lt;&gt;")</f>
        <v>4</v>
      </c>
      <c r="E19" s="55" t="n">
        <f aca="false">IF($D19=0,"",_xlfn.MINIFS('수집 현황'!$N$6:$N$105,'수집 현황'!$C$6:$C$105,$B19))</f>
        <v>6</v>
      </c>
      <c r="F19" s="55" t="n">
        <f aca="false">IF($D19=0,"",AVERAGEIFS('수집 현황'!$N$6:$N$105,'수집 현황'!$C$6:$C$105,$B19))</f>
        <v>12.5</v>
      </c>
      <c r="G19" s="55" t="n">
        <f aca="false">IF($D19=0,"",_xlfn.MAXIFS('수집 현황'!$N$6:$N$105,'수집 현황'!$C$6:$C$105,$B19))</f>
        <v>15</v>
      </c>
      <c r="H19" s="55" t="n">
        <f aca="false">IF('합격 기준 수치표'!P7="","",'합격 기준 수치표'!P7)</f>
        <v>4</v>
      </c>
      <c r="I19" s="55" t="str">
        <f aca="false">IF('합격 기준 수치표'!Q7="","",'합격 기준 수치표'!Q7)</f>
        <v/>
      </c>
    </row>
    <row r="20" customFormat="false" ht="15" hidden="false" customHeight="false" outlineLevel="0" collapsed="false">
      <c r="A20" s="7" t="s">
        <v>29</v>
      </c>
      <c r="B20" s="8" t="s">
        <v>30</v>
      </c>
      <c r="C20" s="9" t="s">
        <v>442</v>
      </c>
      <c r="D20" s="23" t="n">
        <f aca="false">COUNTIFS('수집 현황'!$C$6:$C$105,$B20,'수집 현황'!$H$6:$H$105,"&lt;&gt;")</f>
        <v>3</v>
      </c>
      <c r="E20" s="53" t="n">
        <f aca="false">IF($D20=0,"",_xlfn.MINIFS('수집 현황'!$H$6:$H$105,'수집 현황'!$C$6:$C$105,$B20))</f>
        <v>9737</v>
      </c>
      <c r="F20" s="53" t="n">
        <f aca="false">IF($D20=0,"",AVERAGEIFS('수집 현황'!$H$6:$H$105,'수집 현황'!$C$6:$C$105,$B20))</f>
        <v>11081</v>
      </c>
      <c r="G20" s="53" t="n">
        <f aca="false">IF($D20=0,"",_xlfn.MAXIFS('수집 현황'!$H$6:$H$105,'수집 현황'!$C$6:$C$105,$B20))</f>
        <v>12234</v>
      </c>
      <c r="H20" s="53" t="n">
        <f aca="false">IF('합격 기준 수치표'!D8="","",'합격 기준 수치표'!D8)</f>
        <v>6000</v>
      </c>
      <c r="I20" s="53" t="str">
        <f aca="false">IF('합격 기준 수치표'!E8="","",'합격 기준 수치표'!E8)</f>
        <v/>
      </c>
    </row>
    <row r="21" customFormat="false" ht="15" hidden="false" customHeight="false" outlineLevel="0" collapsed="false">
      <c r="A21" s="7" t="s">
        <v>29</v>
      </c>
      <c r="B21" s="8" t="s">
        <v>30</v>
      </c>
      <c r="C21" s="9" t="s">
        <v>443</v>
      </c>
      <c r="D21" s="23" t="n">
        <f aca="false">COUNTIFS('수집 현황'!$C$6:$C$105,$B21,'수집 현황'!$I$6:$I$105,"&lt;&gt;")</f>
        <v>3</v>
      </c>
      <c r="E21" s="53" t="n">
        <f aca="false">IF($D21=0,"",_xlfn.MINIFS('수집 현황'!$I$6:$I$105,'수집 현황'!$C$6:$C$105,$B21))</f>
        <v>0</v>
      </c>
      <c r="F21" s="53" t="n">
        <f aca="false">IF($D21=0,"",AVERAGEIFS('수집 현황'!$I$6:$I$105,'수집 현황'!$C$6:$C$105,$B21))</f>
        <v>0</v>
      </c>
      <c r="G21" s="53" t="n">
        <f aca="false">IF($D21=0,"",_xlfn.MAXIFS('수집 현황'!$I$6:$I$105,'수집 현황'!$C$6:$C$105,$B21))</f>
        <v>0</v>
      </c>
      <c r="H21" s="53" t="str">
        <f aca="false">IF('합격 기준 수치표'!F8="","",'합격 기준 수치표'!F8)</f>
        <v/>
      </c>
      <c r="I21" s="53" t="n">
        <f aca="false">IF('합격 기준 수치표'!G8="","",'합격 기준 수치표'!G8)</f>
        <v>100</v>
      </c>
    </row>
    <row r="22" customFormat="false" ht="15" hidden="false" customHeight="false" outlineLevel="0" collapsed="false">
      <c r="A22" s="7" t="s">
        <v>29</v>
      </c>
      <c r="B22" s="8" t="s">
        <v>30</v>
      </c>
      <c r="C22" s="9" t="s">
        <v>444</v>
      </c>
      <c r="D22" s="23" t="n">
        <f aca="false">COUNTIFS('수집 현황'!$C$6:$C$105,$B22,'수집 현황'!$J$6:$J$105,"&lt;&gt;")</f>
        <v>3</v>
      </c>
      <c r="E22" s="54" t="n">
        <f aca="false">IF($D22=0,"",_xlfn.MINIFS('수집 현황'!$J$6:$J$105,'수집 현황'!$C$6:$C$105,$B22))</f>
        <v>18.2</v>
      </c>
      <c r="F22" s="54" t="n">
        <f aca="false">IF($D22=0,"",AVERAGEIFS('수집 현황'!$J$6:$J$105,'수집 현황'!$C$6:$C$105,$B22))</f>
        <v>22.3666666666667</v>
      </c>
      <c r="G22" s="54" t="n">
        <f aca="false">IF($D22=0,"",_xlfn.MAXIFS('수집 현황'!$J$6:$J$105,'수집 현황'!$C$6:$C$105,$B22))</f>
        <v>29.5</v>
      </c>
      <c r="H22" s="54" t="str">
        <f aca="false">IF('합격 기준 수치표'!H8="","",'합격 기준 수치표'!H8)</f>
        <v/>
      </c>
      <c r="I22" s="54" t="n">
        <f aca="false">IF('합격 기준 수치표'!I8="","",'합격 기준 수치표'!I8)</f>
        <v>32</v>
      </c>
    </row>
    <row r="23" customFormat="false" ht="15" hidden="false" customHeight="false" outlineLevel="0" collapsed="false">
      <c r="A23" s="7" t="s">
        <v>29</v>
      </c>
      <c r="B23" s="8" t="s">
        <v>30</v>
      </c>
      <c r="C23" s="9" t="s">
        <v>445</v>
      </c>
      <c r="D23" s="23" t="n">
        <f aca="false">COUNTIFS('수집 현황'!$C$6:$C$105,$B23,'수집 현황'!$K$6:$K$105,"&lt;&gt;")</f>
        <v>3</v>
      </c>
      <c r="E23" s="54" t="n">
        <f aca="false">IF($D23=0,"",_xlfn.MINIFS('수집 현황'!$K$6:$K$105,'수집 현황'!$C$6:$C$105,$B23))</f>
        <v>47.2</v>
      </c>
      <c r="F23" s="54" t="n">
        <f aca="false">IF($D23=0,"",AVERAGEIFS('수집 현황'!$K$6:$K$105,'수집 현황'!$C$6:$C$105,$B23))</f>
        <v>50.5666666666667</v>
      </c>
      <c r="G23" s="54" t="n">
        <f aca="false">IF($D23=0,"",_xlfn.MAXIFS('수집 현황'!$K$6:$K$105,'수집 현황'!$C$6:$C$105,$B23))</f>
        <v>52.6</v>
      </c>
      <c r="H23" s="54" t="n">
        <f aca="false">IF('합격 기준 수치표'!J8="","",'합격 기준 수치표'!J8)</f>
        <v>40</v>
      </c>
      <c r="I23" s="54" t="n">
        <f aca="false">IF('합격 기준 수치표'!K8="","",'합격 기준 수치표'!K8)</f>
        <v>60</v>
      </c>
    </row>
    <row r="24" customFormat="false" ht="15" hidden="false" customHeight="false" outlineLevel="0" collapsed="false">
      <c r="A24" s="7" t="s">
        <v>29</v>
      </c>
      <c r="B24" s="8" t="s">
        <v>30</v>
      </c>
      <c r="C24" s="9" t="s">
        <v>446</v>
      </c>
      <c r="D24" s="23" t="n">
        <f aca="false">COUNTIFS('수집 현황'!$C$6:$C$105,$B24,'수집 현황'!$L$6:$L$105,"&lt;&gt;")</f>
        <v>0</v>
      </c>
      <c r="E24" s="54" t="str">
        <f aca="false">IF($D24=0,"",_xlfn.MINIFS('수집 현황'!$L$6:$L$105,'수집 현황'!$C$6:$C$105,$B24))</f>
        <v/>
      </c>
      <c r="F24" s="54" t="str">
        <f aca="false">IF($D24=0,"",AVERAGEIFS('수집 현황'!$L$6:$L$105,'수집 현황'!$C$6:$C$105,$B24))</f>
        <v/>
      </c>
      <c r="G24" s="54" t="str">
        <f aca="false">IF($D24=0,"",_xlfn.MAXIFS('수집 현황'!$L$6:$L$105,'수집 현황'!$C$6:$C$105,$B24))</f>
        <v/>
      </c>
      <c r="H24" s="54" t="str">
        <f aca="false">IF('합격 기준 수치표'!L8="","",'합격 기준 수치표'!L8)</f>
        <v/>
      </c>
      <c r="I24" s="54" t="str">
        <f aca="false">IF('합격 기준 수치표'!M8="","",'합격 기준 수치표'!M8)</f>
        <v/>
      </c>
    </row>
    <row r="25" customFormat="false" ht="15" hidden="false" customHeight="false" outlineLevel="0" collapsed="false">
      <c r="A25" s="7" t="s">
        <v>29</v>
      </c>
      <c r="B25" s="8" t="s">
        <v>30</v>
      </c>
      <c r="C25" s="9" t="s">
        <v>447</v>
      </c>
      <c r="D25" s="23" t="n">
        <f aca="false">COUNTIFS('수집 현황'!$C$6:$C$105,$B25,'수집 현황'!$M$6:$M$105,"&lt;&gt;")</f>
        <v>0</v>
      </c>
      <c r="E25" s="54" t="str">
        <f aca="false">IF($D25=0,"",_xlfn.MINIFS('수집 현황'!$M$6:$M$105,'수집 현황'!$C$6:$C$105,$B25))</f>
        <v/>
      </c>
      <c r="F25" s="54" t="str">
        <f aca="false">IF($D25=0,"",AVERAGEIFS('수집 현황'!$M$6:$M$105,'수집 현황'!$C$6:$C$105,$B25))</f>
        <v/>
      </c>
      <c r="G25" s="54" t="str">
        <f aca="false">IF($D25=0,"",_xlfn.MAXIFS('수집 현황'!$M$6:$M$105,'수집 현황'!$C$6:$C$105,$B25))</f>
        <v/>
      </c>
      <c r="H25" s="54" t="str">
        <f aca="false">IF('합격 기준 수치표'!N8="","",'합격 기준 수치표'!N8)</f>
        <v/>
      </c>
      <c r="I25" s="54" t="str">
        <f aca="false">IF('합격 기준 수치표'!O8="","",'합격 기준 수치표'!O8)</f>
        <v/>
      </c>
    </row>
    <row r="26" customFormat="false" ht="15" hidden="false" customHeight="false" outlineLevel="0" collapsed="false">
      <c r="A26" s="7" t="s">
        <v>29</v>
      </c>
      <c r="B26" s="8" t="s">
        <v>30</v>
      </c>
      <c r="C26" s="9" t="s">
        <v>448</v>
      </c>
      <c r="D26" s="23" t="n">
        <f aca="false">COUNTIFS('수집 현황'!$C$6:$C$105,$B26,'수집 현황'!$N$6:$N$105,"&lt;&gt;")</f>
        <v>3</v>
      </c>
      <c r="E26" s="55" t="n">
        <f aca="false">IF($D26=0,"",_xlfn.MINIFS('수집 현황'!$N$6:$N$105,'수집 현황'!$C$6:$C$105,$B26))</f>
        <v>0</v>
      </c>
      <c r="F26" s="55" t="n">
        <f aca="false">IF($D26=0,"",AVERAGEIFS('수집 현황'!$N$6:$N$105,'수집 현황'!$C$6:$C$105,$B26))</f>
        <v>0</v>
      </c>
      <c r="G26" s="55" t="n">
        <f aca="false">IF($D26=0,"",_xlfn.MAXIFS('수집 현황'!$N$6:$N$105,'수집 현황'!$C$6:$C$105,$B26))</f>
        <v>0</v>
      </c>
      <c r="H26" s="55" t="str">
        <f aca="false">IF('합격 기준 수치표'!P8="","",'합격 기준 수치표'!P8)</f>
        <v/>
      </c>
      <c r="I26" s="55" t="str">
        <f aca="false">IF('합격 기준 수치표'!Q8="","",'합격 기준 수치표'!Q8)</f>
        <v/>
      </c>
    </row>
    <row r="27" customFormat="false" ht="15" hidden="false" customHeight="false" outlineLevel="0" collapsed="false">
      <c r="A27" s="7" t="s">
        <v>34</v>
      </c>
      <c r="B27" s="8" t="s">
        <v>35</v>
      </c>
      <c r="C27" s="9" t="s">
        <v>442</v>
      </c>
      <c r="D27" s="23" t="n">
        <f aca="false">COUNTIFS('수집 현황'!$C$6:$C$105,$B27,'수집 현황'!$H$6:$H$105,"&lt;&gt;")</f>
        <v>4</v>
      </c>
      <c r="E27" s="53" t="n">
        <f aca="false">IF($D27=0,"",_xlfn.MINIFS('수집 현황'!$H$6:$H$105,'수집 현황'!$C$6:$C$105,$B27))</f>
        <v>10400</v>
      </c>
      <c r="F27" s="53" t="n">
        <f aca="false">IF($D27=0,"",AVERAGEIFS('수집 현황'!$H$6:$H$105,'수집 현황'!$C$6:$C$105,$B27))</f>
        <v>12423.25</v>
      </c>
      <c r="G27" s="53" t="n">
        <f aca="false">IF($D27=0,"",_xlfn.MAXIFS('수집 현황'!$H$6:$H$105,'수집 현황'!$C$6:$C$105,$B27))</f>
        <v>15639</v>
      </c>
      <c r="H27" s="53" t="n">
        <f aca="false">IF('합격 기준 수치표'!D9="","",'합격 기준 수치표'!D9)</f>
        <v>6000</v>
      </c>
      <c r="I27" s="53" t="str">
        <f aca="false">IF('합격 기준 수치표'!E9="","",'합격 기준 수치표'!E9)</f>
        <v/>
      </c>
    </row>
    <row r="28" customFormat="false" ht="15" hidden="false" customHeight="false" outlineLevel="0" collapsed="false">
      <c r="A28" s="7" t="s">
        <v>34</v>
      </c>
      <c r="B28" s="8" t="s">
        <v>35</v>
      </c>
      <c r="C28" s="9" t="s">
        <v>443</v>
      </c>
      <c r="D28" s="23" t="n">
        <f aca="false">COUNTIFS('수집 현황'!$C$6:$C$105,$B28,'수집 현황'!$I$6:$I$105,"&lt;&gt;")</f>
        <v>4</v>
      </c>
      <c r="E28" s="53" t="n">
        <f aca="false">IF($D28=0,"",_xlfn.MINIFS('수집 현황'!$I$6:$I$105,'수집 현황'!$C$6:$C$105,$B28))</f>
        <v>1855</v>
      </c>
      <c r="F28" s="53" t="n">
        <f aca="false">IF($D28=0,"",AVERAGEIFS('수집 현황'!$I$6:$I$105,'수집 현황'!$C$6:$C$105,$B28))</f>
        <v>2697</v>
      </c>
      <c r="G28" s="53" t="n">
        <f aca="false">IF($D28=0,"",_xlfn.MAXIFS('수집 현황'!$I$6:$I$105,'수집 현황'!$C$6:$C$105,$B28))</f>
        <v>4179</v>
      </c>
      <c r="H28" s="53" t="n">
        <f aca="false">IF('합격 기준 수치표'!F9="","",'합격 기준 수치표'!F9)</f>
        <v>500</v>
      </c>
      <c r="I28" s="53" t="str">
        <f aca="false">IF('합격 기준 수치표'!G9="","",'합격 기준 수치표'!G9)</f>
        <v/>
      </c>
    </row>
    <row r="29" customFormat="false" ht="15" hidden="false" customHeight="false" outlineLevel="0" collapsed="false">
      <c r="A29" s="7" t="s">
        <v>34</v>
      </c>
      <c r="B29" s="8" t="s">
        <v>35</v>
      </c>
      <c r="C29" s="9" t="s">
        <v>444</v>
      </c>
      <c r="D29" s="23" t="n">
        <f aca="false">COUNTIFS('수집 현황'!$C$6:$C$105,$B29,'수집 현황'!$J$6:$J$105,"&lt;&gt;")</f>
        <v>4</v>
      </c>
      <c r="E29" s="54" t="n">
        <f aca="false">IF($D29=0,"",_xlfn.MINIFS('수집 현황'!$J$6:$J$105,'수집 현황'!$C$6:$C$105,$B29))</f>
        <v>40.7</v>
      </c>
      <c r="F29" s="54" t="n">
        <f aca="false">IF($D29=0,"",AVERAGEIFS('수집 현황'!$J$6:$J$105,'수집 현황'!$C$6:$C$105,$B29))</f>
        <v>47.65</v>
      </c>
      <c r="G29" s="54" t="n">
        <f aca="false">IF($D29=0,"",_xlfn.MAXIFS('수집 현황'!$J$6:$J$105,'수집 현황'!$C$6:$C$105,$B29))</f>
        <v>61.4</v>
      </c>
      <c r="H29" s="54" t="str">
        <f aca="false">IF('합격 기준 수치표'!H9="","",'합격 기준 수치표'!H9)</f>
        <v/>
      </c>
      <c r="I29" s="54" t="str">
        <f aca="false">IF('합격 기준 수치표'!I9="","",'합격 기준 수치표'!I9)</f>
        <v/>
      </c>
    </row>
    <row r="30" customFormat="false" ht="15" hidden="false" customHeight="false" outlineLevel="0" collapsed="false">
      <c r="A30" s="7" t="s">
        <v>34</v>
      </c>
      <c r="B30" s="8" t="s">
        <v>35</v>
      </c>
      <c r="C30" s="9" t="s">
        <v>445</v>
      </c>
      <c r="D30" s="23" t="n">
        <f aca="false">COUNTIFS('수집 현황'!$C$6:$C$105,$B30,'수집 현황'!$K$6:$K$105,"&lt;&gt;")</f>
        <v>4</v>
      </c>
      <c r="E30" s="54" t="n">
        <f aca="false">IF($D30=0,"",_xlfn.MINIFS('수집 현황'!$K$6:$K$105,'수집 현황'!$C$6:$C$105,$B30))</f>
        <v>36.2</v>
      </c>
      <c r="F30" s="54" t="n">
        <f aca="false">IF($D30=0,"",AVERAGEIFS('수집 현황'!$K$6:$K$105,'수집 현황'!$C$6:$C$105,$B30))</f>
        <v>40.375</v>
      </c>
      <c r="G30" s="54" t="n">
        <f aca="false">IF($D30=0,"",_xlfn.MAXIFS('수집 현황'!$K$6:$K$105,'수집 현황'!$C$6:$C$105,$B30))</f>
        <v>43.5</v>
      </c>
      <c r="H30" s="54" t="str">
        <f aca="false">IF('합격 기준 수치표'!J9="","",'합격 기준 수치표'!J9)</f>
        <v/>
      </c>
      <c r="I30" s="54" t="n">
        <f aca="false">IF('합격 기준 수치표'!K9="","",'합격 기준 수치표'!K9)</f>
        <v>46</v>
      </c>
    </row>
    <row r="31" customFormat="false" ht="15" hidden="false" customHeight="false" outlineLevel="0" collapsed="false">
      <c r="A31" s="7" t="s">
        <v>34</v>
      </c>
      <c r="B31" s="8" t="s">
        <v>35</v>
      </c>
      <c r="C31" s="9" t="s">
        <v>446</v>
      </c>
      <c r="D31" s="23" t="n">
        <f aca="false">COUNTIFS('수집 현황'!$C$6:$C$105,$B31,'수집 현황'!$L$6:$L$105,"&lt;&gt;")</f>
        <v>4</v>
      </c>
      <c r="E31" s="54" t="n">
        <f aca="false">IF($D31=0,"",_xlfn.MINIFS('수집 현황'!$L$6:$L$105,'수집 현황'!$C$6:$C$105,$B31))</f>
        <v>23.6</v>
      </c>
      <c r="F31" s="54" t="n">
        <f aca="false">IF($D31=0,"",AVERAGEIFS('수집 현황'!$L$6:$L$105,'수집 현황'!$C$6:$C$105,$B31))</f>
        <v>41.95</v>
      </c>
      <c r="G31" s="54" t="n">
        <f aca="false">IF($D31=0,"",_xlfn.MAXIFS('수집 현황'!$L$6:$L$105,'수집 현황'!$C$6:$C$105,$B31))</f>
        <v>58.8</v>
      </c>
      <c r="H31" s="54" t="str">
        <f aca="false">IF('합격 기준 수치표'!L9="","",'합격 기준 수치표'!L9)</f>
        <v/>
      </c>
      <c r="I31" s="54" t="str">
        <f aca="false">IF('합격 기준 수치표'!M9="","",'합격 기준 수치표'!M9)</f>
        <v/>
      </c>
    </row>
    <row r="32" customFormat="false" ht="15" hidden="false" customHeight="false" outlineLevel="0" collapsed="false">
      <c r="A32" s="7" t="s">
        <v>34</v>
      </c>
      <c r="B32" s="8" t="s">
        <v>35</v>
      </c>
      <c r="C32" s="9" t="s">
        <v>447</v>
      </c>
      <c r="D32" s="23" t="n">
        <f aca="false">COUNTIFS('수집 현황'!$C$6:$C$105,$B32,'수집 현황'!$M$6:$M$105,"&lt;&gt;")</f>
        <v>4</v>
      </c>
      <c r="E32" s="54" t="n">
        <f aca="false">IF($D32=0,"",_xlfn.MINIFS('수집 현황'!$M$6:$M$105,'수집 현황'!$C$6:$C$105,$B32))</f>
        <v>0</v>
      </c>
      <c r="F32" s="54" t="n">
        <f aca="false">IF($D32=0,"",AVERAGEIFS('수집 현황'!$M$6:$M$105,'수집 현황'!$C$6:$C$105,$B32))</f>
        <v>12</v>
      </c>
      <c r="G32" s="54" t="n">
        <f aca="false">IF($D32=0,"",_xlfn.MAXIFS('수집 현황'!$M$6:$M$105,'수집 현황'!$C$6:$C$105,$B32))</f>
        <v>46.4</v>
      </c>
      <c r="H32" s="54" t="str">
        <f aca="false">IF('합격 기준 수치표'!N9="","",'합격 기준 수치표'!N9)</f>
        <v/>
      </c>
      <c r="I32" s="54" t="str">
        <f aca="false">IF('합격 기준 수치표'!O9="","",'합격 기준 수치표'!O9)</f>
        <v/>
      </c>
    </row>
    <row r="33" customFormat="false" ht="15" hidden="false" customHeight="false" outlineLevel="0" collapsed="false">
      <c r="A33" s="7" t="s">
        <v>34</v>
      </c>
      <c r="B33" s="8" t="s">
        <v>35</v>
      </c>
      <c r="C33" s="9" t="s">
        <v>448</v>
      </c>
      <c r="D33" s="23" t="n">
        <f aca="false">COUNTIFS('수집 현황'!$C$6:$C$105,$B33,'수집 현황'!$N$6:$N$105,"&lt;&gt;")</f>
        <v>4</v>
      </c>
      <c r="E33" s="55" t="n">
        <f aca="false">IF($D33=0,"",_xlfn.MINIFS('수집 현황'!$N$6:$N$105,'수집 현황'!$C$6:$C$105,$B33))</f>
        <v>11</v>
      </c>
      <c r="F33" s="55" t="n">
        <f aca="false">IF($D33=0,"",AVERAGEIFS('수집 현황'!$N$6:$N$105,'수집 현황'!$C$6:$C$105,$B33))</f>
        <v>12.25</v>
      </c>
      <c r="G33" s="55" t="n">
        <f aca="false">IF($D33=0,"",_xlfn.MAXIFS('수집 현황'!$N$6:$N$105,'수집 현황'!$C$6:$C$105,$B33))</f>
        <v>14</v>
      </c>
      <c r="H33" s="55" t="n">
        <f aca="false">IF('합격 기준 수치표'!P9="","",'합격 기준 수치표'!P9)</f>
        <v>4</v>
      </c>
      <c r="I33" s="55" t="str">
        <f aca="false">IF('합격 기준 수치표'!Q9="","",'합격 기준 수치표'!Q9)</f>
        <v/>
      </c>
    </row>
    <row r="34" customFormat="false" ht="15" hidden="false" customHeight="false" outlineLevel="0" collapsed="false">
      <c r="A34" s="7" t="s">
        <v>39</v>
      </c>
      <c r="B34" s="8" t="s">
        <v>40</v>
      </c>
      <c r="C34" s="9" t="s">
        <v>442</v>
      </c>
      <c r="D34" s="23" t="n">
        <f aca="false">COUNTIFS('수집 현황'!$C$6:$C$105,$B34,'수집 현황'!$H$6:$H$105,"&lt;&gt;")</f>
        <v>4</v>
      </c>
      <c r="E34" s="53" t="n">
        <f aca="false">IF($D34=0,"",_xlfn.MINIFS('수집 현황'!$H$6:$H$105,'수집 현황'!$C$6:$C$105,$B34))</f>
        <v>12081</v>
      </c>
      <c r="F34" s="53" t="n">
        <f aca="false">IF($D34=0,"",AVERAGEIFS('수집 현황'!$H$6:$H$105,'수집 현황'!$C$6:$C$105,$B34))</f>
        <v>13135.5</v>
      </c>
      <c r="G34" s="53" t="n">
        <f aca="false">IF($D34=0,"",_xlfn.MAXIFS('수집 현황'!$H$6:$H$105,'수집 현황'!$C$6:$C$105,$B34))</f>
        <v>15265</v>
      </c>
      <c r="H34" s="53" t="n">
        <f aca="false">IF('합격 기준 수치표'!D10="","",'합격 기준 수치표'!D10)</f>
        <v>6000</v>
      </c>
      <c r="I34" s="53" t="str">
        <f aca="false">IF('합격 기준 수치표'!E10="","",'합격 기준 수치표'!E10)</f>
        <v/>
      </c>
    </row>
    <row r="35" customFormat="false" ht="15" hidden="false" customHeight="false" outlineLevel="0" collapsed="false">
      <c r="A35" s="7" t="s">
        <v>39</v>
      </c>
      <c r="B35" s="8" t="s">
        <v>40</v>
      </c>
      <c r="C35" s="9" t="s">
        <v>443</v>
      </c>
      <c r="D35" s="23" t="n">
        <f aca="false">COUNTIFS('수집 현황'!$C$6:$C$105,$B35,'수집 현황'!$I$6:$I$105,"&lt;&gt;")</f>
        <v>4</v>
      </c>
      <c r="E35" s="53" t="n">
        <f aca="false">IF($D35=0,"",_xlfn.MINIFS('수집 현황'!$I$6:$I$105,'수집 현황'!$C$6:$C$105,$B35))</f>
        <v>1680</v>
      </c>
      <c r="F35" s="53" t="n">
        <f aca="false">IF($D35=0,"",AVERAGEIFS('수집 현황'!$I$6:$I$105,'수집 현황'!$C$6:$C$105,$B35))</f>
        <v>2225.25</v>
      </c>
      <c r="G35" s="53" t="n">
        <f aca="false">IF($D35=0,"",_xlfn.MAXIFS('수집 현황'!$I$6:$I$105,'수집 현황'!$C$6:$C$105,$B35))</f>
        <v>2820</v>
      </c>
      <c r="H35" s="53" t="n">
        <f aca="false">IF('합격 기준 수치표'!F10="","",'합격 기준 수치표'!F10)</f>
        <v>500</v>
      </c>
      <c r="I35" s="53" t="str">
        <f aca="false">IF('합격 기준 수치표'!G10="","",'합격 기준 수치표'!G10)</f>
        <v/>
      </c>
    </row>
    <row r="36" customFormat="false" ht="15" hidden="false" customHeight="false" outlineLevel="0" collapsed="false">
      <c r="A36" s="7" t="s">
        <v>39</v>
      </c>
      <c r="B36" s="8" t="s">
        <v>40</v>
      </c>
      <c r="C36" s="9" t="s">
        <v>444</v>
      </c>
      <c r="D36" s="23" t="n">
        <f aca="false">COUNTIFS('수집 현황'!$C$6:$C$105,$B36,'수집 현황'!$J$6:$J$105,"&lt;&gt;")</f>
        <v>4</v>
      </c>
      <c r="E36" s="54" t="n">
        <f aca="false">IF($D36=0,"",_xlfn.MINIFS('수집 현황'!$J$6:$J$105,'수집 현황'!$C$6:$C$105,$B36))</f>
        <v>34.8</v>
      </c>
      <c r="F36" s="54" t="n">
        <f aca="false">IF($D36=0,"",AVERAGEIFS('수집 현황'!$J$6:$J$105,'수집 현황'!$C$6:$C$105,$B36))</f>
        <v>43.75</v>
      </c>
      <c r="G36" s="54" t="n">
        <f aca="false">IF($D36=0,"",_xlfn.MAXIFS('수집 현황'!$J$6:$J$105,'수집 현황'!$C$6:$C$105,$B36))</f>
        <v>56.6</v>
      </c>
      <c r="H36" s="54" t="str">
        <f aca="false">IF('합격 기준 수치표'!H10="","",'합격 기준 수치표'!H10)</f>
        <v/>
      </c>
      <c r="I36" s="54" t="str">
        <f aca="false">IF('합격 기준 수치표'!I10="","",'합격 기준 수치표'!I10)</f>
        <v/>
      </c>
    </row>
    <row r="37" customFormat="false" ht="15" hidden="false" customHeight="false" outlineLevel="0" collapsed="false">
      <c r="A37" s="7" t="s">
        <v>39</v>
      </c>
      <c r="B37" s="8" t="s">
        <v>40</v>
      </c>
      <c r="C37" s="9" t="s">
        <v>445</v>
      </c>
      <c r="D37" s="23" t="n">
        <f aca="false">COUNTIFS('수집 현황'!$C$6:$C$105,$B37,'수집 현황'!$K$6:$K$105,"&lt;&gt;")</f>
        <v>4</v>
      </c>
      <c r="E37" s="54" t="n">
        <f aca="false">IF($D37=0,"",_xlfn.MINIFS('수집 현황'!$K$6:$K$105,'수집 현황'!$C$6:$C$105,$B37))</f>
        <v>62.9</v>
      </c>
      <c r="F37" s="54" t="n">
        <f aca="false">IF($D37=0,"",AVERAGEIFS('수집 현황'!$K$6:$K$105,'수집 현황'!$C$6:$C$105,$B37))</f>
        <v>64.775</v>
      </c>
      <c r="G37" s="54" t="n">
        <f aca="false">IF($D37=0,"",_xlfn.MAXIFS('수집 현황'!$K$6:$K$105,'수집 현황'!$C$6:$C$105,$B37))</f>
        <v>66.7</v>
      </c>
      <c r="H37" s="54" t="n">
        <f aca="false">IF('합격 기준 수치표'!J10="","",'합격 기준 수치표'!J10)</f>
        <v>60</v>
      </c>
      <c r="I37" s="54" t="str">
        <f aca="false">IF('합격 기준 수치표'!K10="","",'합격 기준 수치표'!K10)</f>
        <v/>
      </c>
    </row>
    <row r="38" customFormat="false" ht="15" hidden="false" customHeight="false" outlineLevel="0" collapsed="false">
      <c r="A38" s="7" t="s">
        <v>39</v>
      </c>
      <c r="B38" s="8" t="s">
        <v>40</v>
      </c>
      <c r="C38" s="9" t="s">
        <v>446</v>
      </c>
      <c r="D38" s="23" t="n">
        <f aca="false">COUNTIFS('수집 현황'!$C$6:$C$105,$B38,'수집 현황'!$L$6:$L$105,"&lt;&gt;")</f>
        <v>4</v>
      </c>
      <c r="E38" s="54" t="n">
        <f aca="false">IF($D38=0,"",_xlfn.MINIFS('수집 현황'!$L$6:$L$105,'수집 현황'!$C$6:$C$105,$B38))</f>
        <v>0</v>
      </c>
      <c r="F38" s="54" t="n">
        <f aca="false">IF($D38=0,"",AVERAGEIFS('수집 현황'!$L$6:$L$105,'수집 현황'!$C$6:$C$105,$B38))</f>
        <v>44.45</v>
      </c>
      <c r="G38" s="54" t="n">
        <f aca="false">IF($D38=0,"",_xlfn.MAXIFS('수집 현황'!$L$6:$L$105,'수집 현황'!$C$6:$C$105,$B38))</f>
        <v>78.2</v>
      </c>
      <c r="H38" s="54" t="str">
        <f aca="false">IF('합격 기준 수치표'!L10="","",'합격 기준 수치표'!L10)</f>
        <v/>
      </c>
      <c r="I38" s="54" t="str">
        <f aca="false">IF('합격 기준 수치표'!M10="","",'합격 기준 수치표'!M10)</f>
        <v/>
      </c>
    </row>
    <row r="39" customFormat="false" ht="15" hidden="false" customHeight="false" outlineLevel="0" collapsed="false">
      <c r="A39" s="7" t="s">
        <v>39</v>
      </c>
      <c r="B39" s="8" t="s">
        <v>40</v>
      </c>
      <c r="C39" s="9" t="s">
        <v>447</v>
      </c>
      <c r="D39" s="23" t="n">
        <f aca="false">COUNTIFS('수집 현황'!$C$6:$C$105,$B39,'수집 현황'!$M$6:$M$105,"&lt;&gt;")</f>
        <v>4</v>
      </c>
      <c r="E39" s="54" t="n">
        <f aca="false">IF($D39=0,"",_xlfn.MINIFS('수집 현황'!$M$6:$M$105,'수집 현황'!$C$6:$C$105,$B39))</f>
        <v>0</v>
      </c>
      <c r="F39" s="54" t="n">
        <f aca="false">IF($D39=0,"",AVERAGEIFS('수집 현황'!$M$6:$M$105,'수집 현황'!$C$6:$C$105,$B39))</f>
        <v>12.55</v>
      </c>
      <c r="G39" s="54" t="n">
        <f aca="false">IF($D39=0,"",_xlfn.MAXIFS('수집 현황'!$M$6:$M$105,'수집 현황'!$C$6:$C$105,$B39))</f>
        <v>36.3</v>
      </c>
      <c r="H39" s="54" t="str">
        <f aca="false">IF('합격 기준 수치표'!N10="","",'합격 기준 수치표'!N10)</f>
        <v/>
      </c>
      <c r="I39" s="54" t="str">
        <f aca="false">IF('합격 기준 수치표'!O10="","",'합격 기준 수치표'!O10)</f>
        <v/>
      </c>
    </row>
    <row r="40" customFormat="false" ht="15" hidden="false" customHeight="false" outlineLevel="0" collapsed="false">
      <c r="A40" s="7" t="s">
        <v>39</v>
      </c>
      <c r="B40" s="8" t="s">
        <v>40</v>
      </c>
      <c r="C40" s="9" t="s">
        <v>448</v>
      </c>
      <c r="D40" s="23" t="n">
        <f aca="false">COUNTIFS('수집 현황'!$C$6:$C$105,$B40,'수집 현황'!$N$6:$N$105,"&lt;&gt;")</f>
        <v>4</v>
      </c>
      <c r="E40" s="55" t="n">
        <f aca="false">IF($D40=0,"",_xlfn.MINIFS('수집 현황'!$N$6:$N$105,'수집 현황'!$C$6:$C$105,$B40))</f>
        <v>7</v>
      </c>
      <c r="F40" s="55" t="n">
        <f aca="false">IF($D40=0,"",AVERAGEIFS('수집 현황'!$N$6:$N$105,'수집 현황'!$C$6:$C$105,$B40))</f>
        <v>11.5</v>
      </c>
      <c r="G40" s="55" t="n">
        <f aca="false">IF($D40=0,"",_xlfn.MAXIFS('수집 현황'!$N$6:$N$105,'수집 현황'!$C$6:$C$105,$B40))</f>
        <v>14</v>
      </c>
      <c r="H40" s="55" t="n">
        <f aca="false">IF('합격 기준 수치표'!P10="","",'합격 기준 수치표'!P10)</f>
        <v>4</v>
      </c>
      <c r="I40" s="55" t="str">
        <f aca="false">IF('합격 기준 수치표'!Q10="","",'합격 기준 수치표'!Q10)</f>
        <v/>
      </c>
    </row>
    <row r="41" customFormat="false" ht="15" hidden="false" customHeight="false" outlineLevel="0" collapsed="false">
      <c r="A41" s="7" t="s">
        <v>43</v>
      </c>
      <c r="B41" s="8" t="s">
        <v>44</v>
      </c>
      <c r="C41" s="9" t="s">
        <v>442</v>
      </c>
      <c r="D41" s="23" t="n">
        <f aca="false">COUNTIFS('수집 현황'!$C$6:$C$105,$B41,'수집 현황'!$H$6:$H$105,"&lt;&gt;")</f>
        <v>4</v>
      </c>
      <c r="E41" s="53" t="n">
        <f aca="false">IF($D41=0,"",_xlfn.MINIFS('수집 현황'!$H$6:$H$105,'수집 현황'!$C$6:$C$105,$B41))</f>
        <v>9694</v>
      </c>
      <c r="F41" s="53" t="n">
        <f aca="false">IF($D41=0,"",AVERAGEIFS('수집 현황'!$H$6:$H$105,'수집 현황'!$C$6:$C$105,$B41))</f>
        <v>11667.5</v>
      </c>
      <c r="G41" s="53" t="n">
        <f aca="false">IF($D41=0,"",_xlfn.MAXIFS('수집 현황'!$H$6:$H$105,'수집 현황'!$C$6:$C$105,$B41))</f>
        <v>13716</v>
      </c>
      <c r="H41" s="53" t="n">
        <f aca="false">IF('합격 기준 수치표'!D11="","",'합격 기준 수치표'!D11)</f>
        <v>6000</v>
      </c>
      <c r="I41" s="53" t="str">
        <f aca="false">IF('합격 기준 수치표'!E11="","",'합격 기준 수치표'!E11)</f>
        <v/>
      </c>
    </row>
    <row r="42" customFormat="false" ht="15" hidden="false" customHeight="false" outlineLevel="0" collapsed="false">
      <c r="A42" s="7" t="s">
        <v>43</v>
      </c>
      <c r="B42" s="8" t="s">
        <v>44</v>
      </c>
      <c r="C42" s="9" t="s">
        <v>443</v>
      </c>
      <c r="D42" s="23" t="n">
        <f aca="false">COUNTIFS('수집 현황'!$C$6:$C$105,$B42,'수집 현황'!$I$6:$I$105,"&lt;&gt;")</f>
        <v>4</v>
      </c>
      <c r="E42" s="53" t="n">
        <f aca="false">IF($D42=0,"",_xlfn.MINIFS('수집 현황'!$I$6:$I$105,'수집 현황'!$C$6:$C$105,$B42))</f>
        <v>1890</v>
      </c>
      <c r="F42" s="53" t="n">
        <f aca="false">IF($D42=0,"",AVERAGEIFS('수집 현황'!$I$6:$I$105,'수집 현황'!$C$6:$C$105,$B42))</f>
        <v>2757</v>
      </c>
      <c r="G42" s="53" t="n">
        <f aca="false">IF($D42=0,"",_xlfn.MAXIFS('수집 현황'!$I$6:$I$105,'수집 현황'!$C$6:$C$105,$B42))</f>
        <v>4438</v>
      </c>
      <c r="H42" s="53" t="n">
        <f aca="false">IF('합격 기준 수치표'!F11="","",'합격 기준 수치표'!F11)</f>
        <v>1000</v>
      </c>
      <c r="I42" s="53" t="str">
        <f aca="false">IF('합격 기준 수치표'!G11="","",'합격 기준 수치표'!G11)</f>
        <v/>
      </c>
    </row>
    <row r="43" customFormat="false" ht="15" hidden="false" customHeight="false" outlineLevel="0" collapsed="false">
      <c r="A43" s="7" t="s">
        <v>43</v>
      </c>
      <c r="B43" s="8" t="s">
        <v>44</v>
      </c>
      <c r="C43" s="9" t="s">
        <v>444</v>
      </c>
      <c r="D43" s="23" t="n">
        <f aca="false">COUNTIFS('수집 현황'!$C$6:$C$105,$B43,'수집 현황'!$J$6:$J$105,"&lt;&gt;")</f>
        <v>4</v>
      </c>
      <c r="E43" s="54" t="n">
        <f aca="false">IF($D43=0,"",_xlfn.MINIFS('수집 현황'!$J$6:$J$105,'수집 현황'!$C$6:$C$105,$B43))</f>
        <v>29.6</v>
      </c>
      <c r="F43" s="54" t="n">
        <f aca="false">IF($D43=0,"",AVERAGEIFS('수집 현황'!$J$6:$J$105,'수집 현황'!$C$6:$C$105,$B43))</f>
        <v>38.2</v>
      </c>
      <c r="G43" s="54" t="n">
        <f aca="false">IF($D43=0,"",_xlfn.MAXIFS('수집 현황'!$J$6:$J$105,'수집 현황'!$C$6:$C$105,$B43))</f>
        <v>51.7</v>
      </c>
      <c r="H43" s="54" t="str">
        <f aca="false">IF('합격 기준 수치표'!H11="","",'합격 기준 수치표'!H11)</f>
        <v/>
      </c>
      <c r="I43" s="54" t="str">
        <f aca="false">IF('합격 기준 수치표'!I11="","",'합격 기준 수치표'!I11)</f>
        <v/>
      </c>
    </row>
    <row r="44" customFormat="false" ht="15" hidden="false" customHeight="false" outlineLevel="0" collapsed="false">
      <c r="A44" s="7" t="s">
        <v>43</v>
      </c>
      <c r="B44" s="8" t="s">
        <v>44</v>
      </c>
      <c r="C44" s="9" t="s">
        <v>445</v>
      </c>
      <c r="D44" s="23" t="n">
        <f aca="false">COUNTIFS('수집 현황'!$C$6:$C$105,$B44,'수집 현황'!$K$6:$K$105,"&lt;&gt;")</f>
        <v>4</v>
      </c>
      <c r="E44" s="54" t="n">
        <f aca="false">IF($D44=0,"",_xlfn.MINIFS('수집 현황'!$K$6:$K$105,'수집 현황'!$C$6:$C$105,$B44))</f>
        <v>56.2</v>
      </c>
      <c r="F44" s="54" t="n">
        <f aca="false">IF($D44=0,"",AVERAGEIFS('수집 현황'!$K$6:$K$105,'수집 현황'!$C$6:$C$105,$B44))</f>
        <v>65.7</v>
      </c>
      <c r="G44" s="54" t="n">
        <f aca="false">IF($D44=0,"",_xlfn.MAXIFS('수집 현황'!$K$6:$K$105,'수집 현황'!$C$6:$C$105,$B44))</f>
        <v>69.3</v>
      </c>
      <c r="H44" s="54" t="n">
        <f aca="false">IF('합격 기준 수치표'!J11="","",'합격 기준 수치표'!J11)</f>
        <v>52</v>
      </c>
      <c r="I44" s="54" t="str">
        <f aca="false">IF('합격 기준 수치표'!K11="","",'합격 기준 수치표'!K11)</f>
        <v/>
      </c>
    </row>
    <row r="45" customFormat="false" ht="15" hidden="false" customHeight="false" outlineLevel="0" collapsed="false">
      <c r="A45" s="7" t="s">
        <v>43</v>
      </c>
      <c r="B45" s="8" t="s">
        <v>44</v>
      </c>
      <c r="C45" s="9" t="s">
        <v>446</v>
      </c>
      <c r="D45" s="23" t="n">
        <f aca="false">COUNTIFS('수집 현황'!$C$6:$C$105,$B45,'수집 현황'!$L$6:$L$105,"&lt;&gt;")</f>
        <v>4</v>
      </c>
      <c r="E45" s="54" t="n">
        <f aca="false">IF($D45=0,"",_xlfn.MINIFS('수집 현황'!$L$6:$L$105,'수집 현황'!$C$6:$C$105,$B45))</f>
        <v>90.1</v>
      </c>
      <c r="F45" s="54" t="n">
        <f aca="false">IF($D45=0,"",AVERAGEIFS('수집 현황'!$L$6:$L$105,'수집 현황'!$C$6:$C$105,$B45))</f>
        <v>97.5</v>
      </c>
      <c r="G45" s="54" t="n">
        <f aca="false">IF($D45=0,"",_xlfn.MAXIFS('수집 현황'!$L$6:$L$105,'수집 현황'!$C$6:$C$105,$B45))</f>
        <v>100</v>
      </c>
      <c r="H45" s="54" t="n">
        <f aca="false">IF('합격 기준 수치표'!L11="","",'합격 기준 수치표'!L11)</f>
        <v>80</v>
      </c>
      <c r="I45" s="54" t="str">
        <f aca="false">IF('합격 기준 수치표'!M11="","",'합격 기준 수치표'!M11)</f>
        <v/>
      </c>
    </row>
    <row r="46" customFormat="false" ht="15" hidden="false" customHeight="false" outlineLevel="0" collapsed="false">
      <c r="A46" s="7" t="s">
        <v>43</v>
      </c>
      <c r="B46" s="8" t="s">
        <v>44</v>
      </c>
      <c r="C46" s="9" t="s">
        <v>447</v>
      </c>
      <c r="D46" s="23" t="n">
        <f aca="false">COUNTIFS('수집 현황'!$C$6:$C$105,$B46,'수집 현황'!$M$6:$M$105,"&lt;&gt;")</f>
        <v>4</v>
      </c>
      <c r="E46" s="54" t="n">
        <f aca="false">IF($D46=0,"",_xlfn.MINIFS('수집 현황'!$M$6:$M$105,'수집 현황'!$C$6:$C$105,$B46))</f>
        <v>0.7</v>
      </c>
      <c r="F46" s="54" t="n">
        <f aca="false">IF($D46=0,"",AVERAGEIFS('수집 현황'!$M$6:$M$105,'수집 현황'!$C$6:$C$105,$B46))</f>
        <v>20.025</v>
      </c>
      <c r="G46" s="54" t="n">
        <f aca="false">IF($D46=0,"",_xlfn.MAXIFS('수집 현황'!$M$6:$M$105,'수집 현황'!$C$6:$C$105,$B46))</f>
        <v>34.9</v>
      </c>
      <c r="H46" s="54" t="str">
        <f aca="false">IF('합격 기준 수치표'!N11="","",'합격 기준 수치표'!N11)</f>
        <v/>
      </c>
      <c r="I46" s="54" t="str">
        <f aca="false">IF('합격 기준 수치표'!O11="","",'합격 기준 수치표'!O11)</f>
        <v/>
      </c>
    </row>
    <row r="47" customFormat="false" ht="15" hidden="false" customHeight="false" outlineLevel="0" collapsed="false">
      <c r="A47" s="7" t="s">
        <v>43</v>
      </c>
      <c r="B47" s="8" t="s">
        <v>44</v>
      </c>
      <c r="C47" s="9" t="s">
        <v>448</v>
      </c>
      <c r="D47" s="23" t="n">
        <f aca="false">COUNTIFS('수집 현황'!$C$6:$C$105,$B47,'수집 현황'!$N$6:$N$105,"&lt;&gt;")</f>
        <v>4</v>
      </c>
      <c r="E47" s="55" t="n">
        <f aca="false">IF($D47=0,"",_xlfn.MINIFS('수집 현황'!$N$6:$N$105,'수집 현황'!$C$6:$C$105,$B47))</f>
        <v>7</v>
      </c>
      <c r="F47" s="55" t="n">
        <f aca="false">IF($D47=0,"",AVERAGEIFS('수집 현황'!$N$6:$N$105,'수집 현황'!$C$6:$C$105,$B47))</f>
        <v>10</v>
      </c>
      <c r="G47" s="55" t="n">
        <f aca="false">IF($D47=0,"",_xlfn.MAXIFS('수집 현황'!$N$6:$N$105,'수집 현황'!$C$6:$C$105,$B47))</f>
        <v>12</v>
      </c>
      <c r="H47" s="55" t="n">
        <f aca="false">IF('합격 기준 수치표'!P11="","",'합격 기준 수치표'!P11)</f>
        <v>4</v>
      </c>
      <c r="I47" s="55" t="str">
        <f aca="false">IF('합격 기준 수치표'!Q11="","",'합격 기준 수치표'!Q11)</f>
        <v/>
      </c>
    </row>
    <row r="48" customFormat="false" ht="15" hidden="false" customHeight="false" outlineLevel="0" collapsed="false">
      <c r="A48" s="7" t="s">
        <v>48</v>
      </c>
      <c r="B48" s="8" t="s">
        <v>49</v>
      </c>
      <c r="C48" s="9" t="s">
        <v>442</v>
      </c>
      <c r="D48" s="23" t="n">
        <f aca="false">COUNTIFS('수집 현황'!$C$6:$C$105,$B48,'수집 현황'!$H$6:$H$105,"&lt;&gt;")</f>
        <v>3</v>
      </c>
      <c r="E48" s="53" t="n">
        <f aca="false">IF($D48=0,"",_xlfn.MINIFS('수집 현황'!$H$6:$H$105,'수집 현황'!$C$6:$C$105,$B48))</f>
        <v>10836</v>
      </c>
      <c r="F48" s="53" t="n">
        <f aca="false">IF($D48=0,"",AVERAGEIFS('수집 현황'!$H$6:$H$105,'수집 현황'!$C$6:$C$105,$B48))</f>
        <v>12172.6666666667</v>
      </c>
      <c r="G48" s="53" t="n">
        <f aca="false">IF($D48=0,"",_xlfn.MAXIFS('수집 현황'!$H$6:$H$105,'수집 현황'!$C$6:$C$105,$B48))</f>
        <v>13118</v>
      </c>
      <c r="H48" s="53" t="n">
        <f aca="false">IF('합격 기준 수치표'!D12="","",'합격 기준 수치표'!D12)</f>
        <v>6000</v>
      </c>
      <c r="I48" s="53" t="str">
        <f aca="false">IF('합격 기준 수치표'!E12="","",'합격 기준 수치표'!E12)</f>
        <v/>
      </c>
    </row>
    <row r="49" customFormat="false" ht="15" hidden="false" customHeight="false" outlineLevel="0" collapsed="false">
      <c r="A49" s="7" t="s">
        <v>48</v>
      </c>
      <c r="B49" s="8" t="s">
        <v>49</v>
      </c>
      <c r="C49" s="9" t="s">
        <v>443</v>
      </c>
      <c r="D49" s="23" t="n">
        <f aca="false">COUNTIFS('수집 현황'!$C$6:$C$105,$B49,'수집 현황'!$I$6:$I$105,"&lt;&gt;")</f>
        <v>3</v>
      </c>
      <c r="E49" s="53" t="n">
        <f aca="false">IF($D49=0,"",_xlfn.MINIFS('수집 현황'!$I$6:$I$105,'수집 현황'!$C$6:$C$105,$B49))</f>
        <v>3487</v>
      </c>
      <c r="F49" s="53" t="n">
        <f aca="false">IF($D49=0,"",AVERAGEIFS('수집 현황'!$I$6:$I$105,'수집 현황'!$C$6:$C$105,$B49))</f>
        <v>4084.66666666667</v>
      </c>
      <c r="G49" s="53" t="n">
        <f aca="false">IF($D49=0,"",_xlfn.MAXIFS('수집 현황'!$I$6:$I$105,'수집 현황'!$C$6:$C$105,$B49))</f>
        <v>5111</v>
      </c>
      <c r="H49" s="53" t="n">
        <f aca="false">IF('합격 기준 수치표'!F12="","",'합격 기준 수치표'!F12)</f>
        <v>1000</v>
      </c>
      <c r="I49" s="53" t="str">
        <f aca="false">IF('합격 기준 수치표'!G12="","",'합격 기준 수치표'!G12)</f>
        <v/>
      </c>
    </row>
    <row r="50" customFormat="false" ht="15" hidden="false" customHeight="false" outlineLevel="0" collapsed="false">
      <c r="A50" s="7" t="s">
        <v>48</v>
      </c>
      <c r="B50" s="8" t="s">
        <v>49</v>
      </c>
      <c r="C50" s="9" t="s">
        <v>444</v>
      </c>
      <c r="D50" s="23" t="n">
        <f aca="false">COUNTIFS('수집 현황'!$C$6:$C$105,$B50,'수집 현황'!$J$6:$J$105,"&lt;&gt;")</f>
        <v>3</v>
      </c>
      <c r="E50" s="54" t="n">
        <f aca="false">IF($D50=0,"",_xlfn.MINIFS('수집 현황'!$J$6:$J$105,'수집 현황'!$C$6:$C$105,$B50))</f>
        <v>28</v>
      </c>
      <c r="F50" s="54" t="n">
        <f aca="false">IF($D50=0,"",AVERAGEIFS('수집 현황'!$J$6:$J$105,'수집 현황'!$C$6:$C$105,$B50))</f>
        <v>31.3666666666667</v>
      </c>
      <c r="G50" s="54" t="n">
        <f aca="false">IF($D50=0,"",_xlfn.MAXIFS('수집 현황'!$J$6:$J$105,'수집 현황'!$C$6:$C$105,$B50))</f>
        <v>37.1</v>
      </c>
      <c r="H50" s="54" t="str">
        <f aca="false">IF('합격 기준 수치표'!H12="","",'합격 기준 수치표'!H12)</f>
        <v/>
      </c>
      <c r="I50" s="54" t="str">
        <f aca="false">IF('합격 기준 수치표'!I12="","",'합격 기준 수치표'!I12)</f>
        <v/>
      </c>
    </row>
    <row r="51" customFormat="false" ht="15" hidden="false" customHeight="false" outlineLevel="0" collapsed="false">
      <c r="A51" s="7" t="s">
        <v>48</v>
      </c>
      <c r="B51" s="8" t="s">
        <v>49</v>
      </c>
      <c r="C51" s="9" t="s">
        <v>445</v>
      </c>
      <c r="D51" s="23" t="n">
        <f aca="false">COUNTIFS('수집 현황'!$C$6:$C$105,$B51,'수집 현황'!$K$6:$K$105,"&lt;&gt;")</f>
        <v>3</v>
      </c>
      <c r="E51" s="54" t="n">
        <f aca="false">IF($D51=0,"",_xlfn.MINIFS('수집 현황'!$K$6:$K$105,'수집 현황'!$C$6:$C$105,$B51))</f>
        <v>44.4</v>
      </c>
      <c r="F51" s="54" t="n">
        <f aca="false">IF($D51=0,"",AVERAGEIFS('수집 현황'!$K$6:$K$105,'수집 현황'!$C$6:$C$105,$B51))</f>
        <v>49.2333333333333</v>
      </c>
      <c r="G51" s="54" t="n">
        <f aca="false">IF($D51=0,"",_xlfn.MAXIFS('수집 현황'!$K$6:$K$105,'수집 현황'!$C$6:$C$105,$B51))</f>
        <v>55</v>
      </c>
      <c r="H51" s="54" t="str">
        <f aca="false">IF('합격 기준 수치표'!J12="","",'합격 기준 수치표'!J12)</f>
        <v/>
      </c>
      <c r="I51" s="54" t="str">
        <f aca="false">IF('합격 기준 수치표'!K12="","",'합격 기준 수치표'!K12)</f>
        <v/>
      </c>
    </row>
    <row r="52" customFormat="false" ht="15" hidden="false" customHeight="false" outlineLevel="0" collapsed="false">
      <c r="A52" s="7" t="s">
        <v>48</v>
      </c>
      <c r="B52" s="8" t="s">
        <v>49</v>
      </c>
      <c r="C52" s="9" t="s">
        <v>446</v>
      </c>
      <c r="D52" s="23" t="n">
        <f aca="false">COUNTIFS('수집 현황'!$C$6:$C$105,$B52,'수집 현황'!$L$6:$L$105,"&lt;&gt;")</f>
        <v>3</v>
      </c>
      <c r="E52" s="54" t="n">
        <f aca="false">IF($D52=0,"",_xlfn.MINIFS('수집 현황'!$L$6:$L$105,'수집 현황'!$C$6:$C$105,$B52))</f>
        <v>0</v>
      </c>
      <c r="F52" s="54" t="n">
        <f aca="false">IF($D52=0,"",AVERAGEIFS('수집 현황'!$L$6:$L$105,'수집 현황'!$C$6:$C$105,$B52))</f>
        <v>5.06666666666667</v>
      </c>
      <c r="G52" s="54" t="n">
        <f aca="false">IF($D52=0,"",_xlfn.MAXIFS('수집 현황'!$L$6:$L$105,'수집 현황'!$C$6:$C$105,$B52))</f>
        <v>10.8</v>
      </c>
      <c r="H52" s="54" t="str">
        <f aca="false">IF('합격 기준 수치표'!L12="","",'합격 기준 수치표'!L12)</f>
        <v/>
      </c>
      <c r="I52" s="54" t="n">
        <f aca="false">IF('합격 기준 수치표'!M12="","",'합격 기준 수치표'!M12)</f>
        <v>20</v>
      </c>
    </row>
    <row r="53" customFormat="false" ht="15" hidden="false" customHeight="false" outlineLevel="0" collapsed="false">
      <c r="A53" s="7" t="s">
        <v>48</v>
      </c>
      <c r="B53" s="8" t="s">
        <v>49</v>
      </c>
      <c r="C53" s="9" t="s">
        <v>447</v>
      </c>
      <c r="D53" s="23" t="n">
        <f aca="false">COUNTIFS('수집 현황'!$C$6:$C$105,$B53,'수집 현황'!$M$6:$M$105,"&lt;&gt;")</f>
        <v>3</v>
      </c>
      <c r="E53" s="54" t="n">
        <f aca="false">IF($D53=0,"",_xlfn.MINIFS('수집 현황'!$M$6:$M$105,'수집 현황'!$C$6:$C$105,$B53))</f>
        <v>22.9</v>
      </c>
      <c r="F53" s="54" t="n">
        <f aca="false">IF($D53=0,"",AVERAGEIFS('수집 현황'!$M$6:$M$105,'수집 현황'!$C$6:$C$105,$B53))</f>
        <v>32.5333333333333</v>
      </c>
      <c r="G53" s="54" t="n">
        <f aca="false">IF($D53=0,"",_xlfn.MAXIFS('수집 현황'!$M$6:$M$105,'수집 현황'!$C$6:$C$105,$B53))</f>
        <v>47.4</v>
      </c>
      <c r="H53" s="54" t="str">
        <f aca="false">IF('합격 기준 수치표'!N12="","",'합격 기준 수치표'!N12)</f>
        <v/>
      </c>
      <c r="I53" s="54" t="str">
        <f aca="false">IF('합격 기준 수치표'!O12="","",'합격 기준 수치표'!O12)</f>
        <v/>
      </c>
    </row>
    <row r="54" customFormat="false" ht="15" hidden="false" customHeight="false" outlineLevel="0" collapsed="false">
      <c r="A54" s="7" t="s">
        <v>48</v>
      </c>
      <c r="B54" s="8" t="s">
        <v>49</v>
      </c>
      <c r="C54" s="9" t="s">
        <v>448</v>
      </c>
      <c r="D54" s="23" t="n">
        <f aca="false">COUNTIFS('수집 현황'!$C$6:$C$105,$B54,'수집 현황'!$N$6:$N$105,"&lt;&gt;")</f>
        <v>3</v>
      </c>
      <c r="E54" s="55" t="n">
        <f aca="false">IF($D54=0,"",_xlfn.MINIFS('수집 현황'!$N$6:$N$105,'수집 현황'!$C$6:$C$105,$B54))</f>
        <v>8</v>
      </c>
      <c r="F54" s="55" t="n">
        <f aca="false">IF($D54=0,"",AVERAGEIFS('수집 현황'!$N$6:$N$105,'수집 현황'!$C$6:$C$105,$B54))</f>
        <v>10.6666666666667</v>
      </c>
      <c r="G54" s="55" t="n">
        <f aca="false">IF($D54=0,"",_xlfn.MAXIFS('수집 현황'!$N$6:$N$105,'수집 현황'!$C$6:$C$105,$B54))</f>
        <v>14</v>
      </c>
      <c r="H54" s="55" t="n">
        <f aca="false">IF('합격 기준 수치표'!P12="","",'합격 기준 수치표'!P12)</f>
        <v>4</v>
      </c>
      <c r="I54" s="55" t="str">
        <f aca="false">IF('합격 기준 수치표'!Q12="","",'합격 기준 수치표'!Q12)</f>
        <v/>
      </c>
    </row>
    <row r="55" customFormat="false" ht="15" hidden="false" customHeight="false" outlineLevel="0" collapsed="false">
      <c r="A55" s="7" t="s">
        <v>53</v>
      </c>
      <c r="B55" s="8" t="s">
        <v>54</v>
      </c>
      <c r="C55" s="9" t="s">
        <v>442</v>
      </c>
      <c r="D55" s="23" t="n">
        <f aca="false">COUNTIFS('수집 현황'!$C$6:$C$105,$B55,'수집 현황'!$H$6:$H$105,"&lt;&gt;")</f>
        <v>4</v>
      </c>
      <c r="E55" s="53" t="n">
        <f aca="false">IF($D55=0,"",_xlfn.MINIFS('수집 현황'!$H$6:$H$105,'수집 현황'!$C$6:$C$105,$B55))</f>
        <v>10977</v>
      </c>
      <c r="F55" s="53" t="n">
        <f aca="false">IF($D55=0,"",AVERAGEIFS('수집 현황'!$H$6:$H$105,'수집 현황'!$C$6:$C$105,$B55))</f>
        <v>12375.25</v>
      </c>
      <c r="G55" s="53" t="n">
        <f aca="false">IF($D55=0,"",_xlfn.MAXIFS('수집 현황'!$H$6:$H$105,'수집 현황'!$C$6:$C$105,$B55))</f>
        <v>14676</v>
      </c>
      <c r="H55" s="53" t="n">
        <f aca="false">IF('합격 기준 수치표'!D13="","",'합격 기준 수치표'!D13)</f>
        <v>6000</v>
      </c>
      <c r="I55" s="53" t="str">
        <f aca="false">IF('합격 기준 수치표'!E13="","",'합격 기준 수치표'!E13)</f>
        <v/>
      </c>
    </row>
    <row r="56" customFormat="false" ht="15" hidden="false" customHeight="false" outlineLevel="0" collapsed="false">
      <c r="A56" s="7" t="s">
        <v>53</v>
      </c>
      <c r="B56" s="8" t="s">
        <v>54</v>
      </c>
      <c r="C56" s="9" t="s">
        <v>443</v>
      </c>
      <c r="D56" s="23" t="n">
        <f aca="false">COUNTIFS('수집 현황'!$C$6:$C$105,$B56,'수집 현황'!$I$6:$I$105,"&lt;&gt;")</f>
        <v>4</v>
      </c>
      <c r="E56" s="53" t="n">
        <f aca="false">IF($D56=0,"",_xlfn.MINIFS('수집 현황'!$I$6:$I$105,'수집 현황'!$C$6:$C$105,$B56))</f>
        <v>7</v>
      </c>
      <c r="F56" s="53" t="n">
        <f aca="false">IF($D56=0,"",AVERAGEIFS('수집 현황'!$I$6:$I$105,'수집 현황'!$C$6:$C$105,$B56))</f>
        <v>769.25</v>
      </c>
      <c r="G56" s="53" t="n">
        <f aca="false">IF($D56=0,"",_xlfn.MAXIFS('수집 현황'!$I$6:$I$105,'수집 현황'!$C$6:$C$105,$B56))</f>
        <v>1584</v>
      </c>
      <c r="H56" s="53" t="n">
        <f aca="false">IF('합격 기준 수치표'!F13="","",'합격 기준 수치표'!F13)</f>
        <v>400</v>
      </c>
      <c r="I56" s="53" t="str">
        <f aca="false">IF('합격 기준 수치표'!G13="","",'합격 기준 수치표'!G13)</f>
        <v/>
      </c>
    </row>
    <row r="57" customFormat="false" ht="15" hidden="false" customHeight="false" outlineLevel="0" collapsed="false">
      <c r="A57" s="7" t="s">
        <v>53</v>
      </c>
      <c r="B57" s="8" t="s">
        <v>54</v>
      </c>
      <c r="C57" s="9" t="s">
        <v>444</v>
      </c>
      <c r="D57" s="23" t="n">
        <f aca="false">COUNTIFS('수집 현황'!$C$6:$C$105,$B57,'수집 현황'!$J$6:$J$105,"&lt;&gt;")</f>
        <v>4</v>
      </c>
      <c r="E57" s="54" t="n">
        <f aca="false">IF($D57=0,"",_xlfn.MINIFS('수집 현황'!$J$6:$J$105,'수집 현황'!$C$6:$C$105,$B57))</f>
        <v>32.1</v>
      </c>
      <c r="F57" s="54" t="n">
        <f aca="false">IF($D57=0,"",AVERAGEIFS('수집 현황'!$J$6:$J$105,'수집 현황'!$C$6:$C$105,$B57))</f>
        <v>44.25</v>
      </c>
      <c r="G57" s="54" t="n">
        <f aca="false">IF($D57=0,"",_xlfn.MAXIFS('수집 현황'!$J$6:$J$105,'수집 현황'!$C$6:$C$105,$B57))</f>
        <v>57.6</v>
      </c>
      <c r="H57" s="54" t="str">
        <f aca="false">IF('합격 기준 수치표'!H13="","",'합격 기준 수치표'!H13)</f>
        <v/>
      </c>
      <c r="I57" s="54" t="str">
        <f aca="false">IF('합격 기준 수치표'!I13="","",'합격 기준 수치표'!I13)</f>
        <v/>
      </c>
    </row>
    <row r="58" customFormat="false" ht="15" hidden="false" customHeight="false" outlineLevel="0" collapsed="false">
      <c r="A58" s="7" t="s">
        <v>53</v>
      </c>
      <c r="B58" s="8" t="s">
        <v>54</v>
      </c>
      <c r="C58" s="9" t="s">
        <v>445</v>
      </c>
      <c r="D58" s="23" t="n">
        <f aca="false">COUNTIFS('수집 현황'!$C$6:$C$105,$B58,'수집 현황'!$K$6:$K$105,"&lt;&gt;")</f>
        <v>4</v>
      </c>
      <c r="E58" s="54" t="n">
        <f aca="false">IF($D58=0,"",_xlfn.MINIFS('수집 현황'!$K$6:$K$105,'수집 현황'!$C$6:$C$105,$B58))</f>
        <v>50.3</v>
      </c>
      <c r="F58" s="54" t="n">
        <f aca="false">IF($D58=0,"",AVERAGEIFS('수집 현황'!$K$6:$K$105,'수집 현황'!$C$6:$C$105,$B58))</f>
        <v>52.25</v>
      </c>
      <c r="G58" s="54" t="n">
        <f aca="false">IF($D58=0,"",_xlfn.MAXIFS('수집 현황'!$K$6:$K$105,'수집 현황'!$C$6:$C$105,$B58))</f>
        <v>55.7</v>
      </c>
      <c r="H58" s="54" t="n">
        <f aca="false">IF('합격 기준 수치표'!J13="","",'합격 기준 수치표'!J13)</f>
        <v>40</v>
      </c>
      <c r="I58" s="54" t="n">
        <f aca="false">IF('합격 기준 수치표'!K13="","",'합격 기준 수치표'!K13)</f>
        <v>60</v>
      </c>
    </row>
    <row r="59" customFormat="false" ht="15" hidden="false" customHeight="false" outlineLevel="0" collapsed="false">
      <c r="A59" s="7" t="s">
        <v>53</v>
      </c>
      <c r="B59" s="8" t="s">
        <v>54</v>
      </c>
      <c r="C59" s="9" t="s">
        <v>446</v>
      </c>
      <c r="D59" s="23" t="n">
        <f aca="false">COUNTIFS('수집 현황'!$C$6:$C$105,$B59,'수집 현황'!$L$6:$L$105,"&lt;&gt;")</f>
        <v>3</v>
      </c>
      <c r="E59" s="54" t="n">
        <f aca="false">IF($D59=0,"",_xlfn.MINIFS('수집 현황'!$L$6:$L$105,'수집 현황'!$C$6:$C$105,$B59))</f>
        <v>57.5</v>
      </c>
      <c r="F59" s="54" t="n">
        <f aca="false">IF($D59=0,"",AVERAGEIFS('수집 현황'!$L$6:$L$105,'수집 현황'!$C$6:$C$105,$B59))</f>
        <v>72.2333333333333</v>
      </c>
      <c r="G59" s="54" t="n">
        <f aca="false">IF($D59=0,"",_xlfn.MAXIFS('수집 현황'!$L$6:$L$105,'수집 현황'!$C$6:$C$105,$B59))</f>
        <v>100</v>
      </c>
      <c r="H59" s="54" t="str">
        <f aca="false">IF('합격 기준 수치표'!L13="","",'합격 기준 수치표'!L13)</f>
        <v/>
      </c>
      <c r="I59" s="54" t="str">
        <f aca="false">IF('합격 기준 수치표'!M13="","",'합격 기준 수치표'!M13)</f>
        <v/>
      </c>
    </row>
    <row r="60" customFormat="false" ht="15" hidden="false" customHeight="false" outlineLevel="0" collapsed="false">
      <c r="A60" s="7" t="s">
        <v>53</v>
      </c>
      <c r="B60" s="8" t="s">
        <v>54</v>
      </c>
      <c r="C60" s="9" t="s">
        <v>447</v>
      </c>
      <c r="D60" s="23" t="n">
        <f aca="false">COUNTIFS('수집 현황'!$C$6:$C$105,$B60,'수집 현황'!$M$6:$M$105,"&lt;&gt;")</f>
        <v>3</v>
      </c>
      <c r="E60" s="54" t="n">
        <f aca="false">IF($D60=0,"",_xlfn.MINIFS('수집 현황'!$M$6:$M$105,'수집 현황'!$C$6:$C$105,$B60))</f>
        <v>0</v>
      </c>
      <c r="F60" s="54" t="n">
        <f aca="false">IF($D60=0,"",AVERAGEIFS('수집 현황'!$M$6:$M$105,'수집 현황'!$C$6:$C$105,$B60))</f>
        <v>0.133333333333333</v>
      </c>
      <c r="G60" s="54" t="n">
        <f aca="false">IF($D60=0,"",_xlfn.MAXIFS('수집 현황'!$M$6:$M$105,'수집 현황'!$C$6:$C$105,$B60))</f>
        <v>0.4</v>
      </c>
      <c r="H60" s="54" t="str">
        <f aca="false">IF('합격 기준 수치표'!N13="","",'합격 기준 수치표'!N13)</f>
        <v/>
      </c>
      <c r="I60" s="54" t="n">
        <f aca="false">IF('합격 기준 수치표'!O13="","",'합격 기준 수치표'!O13)</f>
        <v>3</v>
      </c>
    </row>
    <row r="61" customFormat="false" ht="15" hidden="false" customHeight="false" outlineLevel="0" collapsed="false">
      <c r="A61" s="7" t="s">
        <v>53</v>
      </c>
      <c r="B61" s="8" t="s">
        <v>54</v>
      </c>
      <c r="C61" s="9" t="s">
        <v>448</v>
      </c>
      <c r="D61" s="23" t="n">
        <f aca="false">COUNTIFS('수집 현황'!$C$6:$C$105,$B61,'수집 현황'!$N$6:$N$105,"&lt;&gt;")</f>
        <v>4</v>
      </c>
      <c r="E61" s="55" t="n">
        <f aca="false">IF($D61=0,"",_xlfn.MINIFS('수집 현황'!$N$6:$N$105,'수집 현황'!$C$6:$C$105,$B61))</f>
        <v>0</v>
      </c>
      <c r="F61" s="55" t="n">
        <f aca="false">IF($D61=0,"",AVERAGEIFS('수집 현황'!$N$6:$N$105,'수집 현황'!$C$6:$C$105,$B61))</f>
        <v>3.75</v>
      </c>
      <c r="G61" s="55" t="n">
        <f aca="false">IF($D61=0,"",_xlfn.MAXIFS('수집 현황'!$N$6:$N$105,'수집 현황'!$C$6:$C$105,$B61))</f>
        <v>7</v>
      </c>
      <c r="H61" s="55" t="n">
        <f aca="false">IF('합격 기준 수치표'!P13="","",'합격 기준 수치표'!P13)</f>
        <v>3</v>
      </c>
      <c r="I61" s="55" t="str">
        <f aca="false">IF('합격 기준 수치표'!Q13="","",'합격 기준 수치표'!Q13)</f>
        <v/>
      </c>
    </row>
    <row r="63" customFormat="false" ht="15" hidden="false" customHeight="false" outlineLevel="0" collapsed="false">
      <c r="A63" s="13" t="s">
        <v>449</v>
      </c>
    </row>
    <row r="64" customFormat="false" ht="31.5" hidden="false" customHeight="true" outlineLevel="0" collapsed="false">
      <c r="A64" s="6" t="s">
        <v>418</v>
      </c>
      <c r="B64" s="6" t="s">
        <v>450</v>
      </c>
      <c r="C64" s="6" t="s">
        <v>451</v>
      </c>
      <c r="D64" s="6" t="s">
        <v>452</v>
      </c>
    </row>
    <row r="65" customFormat="false" ht="15" hidden="false" customHeight="false" outlineLevel="0" collapsed="false">
      <c r="A65" s="23" t="str">
        <f aca="false">IF('참가자 명단'!B6="","",'참가자 명단'!B6)</f>
        <v>dahye</v>
      </c>
      <c r="B65" s="30" t="n">
        <f aca="false">IF(OR($A65="",$C65="",$D65="",$D65=0),"",$C65/$D65*100)</f>
        <v>72.3618090452261</v>
      </c>
      <c r="C65" s="53" t="n">
        <f aca="false">IF($A65="","",IFERROR(AVERAGEIFS('수집 현황'!$I$6:$I$105,'수집 현황'!$B$6:$B$105,$A65,'수집 현황'!$C$6:$C$105,"turtle_neck"),""))</f>
        <v>1584</v>
      </c>
      <c r="D65" s="53" t="n">
        <f aca="false">IF($A65="","",IFERROR(AVERAGEIFS('수집 현황'!$I$6:$I$105,'수집 현황'!$B$6:$B$105,$A65,'수집 현황'!$C$6:$C$105,"sitting_straight"),""))</f>
        <v>2189</v>
      </c>
    </row>
    <row r="66" customFormat="false" ht="15" hidden="false" customHeight="false" outlineLevel="0" collapsed="false">
      <c r="A66" s="23" t="str">
        <f aca="false">IF('참가자 명단'!B7="","",'참가자 명단'!B7)</f>
        <v>aro</v>
      </c>
      <c r="B66" s="30" t="n">
        <f aca="false">IF(OR($A66="",$C66="",$D66="",$D66=0),"",$C66/$D66*100)</f>
        <v>5.82716049382716</v>
      </c>
      <c r="C66" s="53" t="n">
        <f aca="false">IF($A66="","",IFERROR(AVERAGEIFS('수집 현황'!$I$6:$I$105,'수집 현황'!$B$6:$B$105,$A66,'수집 현황'!$C$6:$C$105,"turtle_neck"),""))</f>
        <v>236</v>
      </c>
      <c r="D66" s="53" t="n">
        <f aca="false">IF($A66="","",IFERROR(AVERAGEIFS('수집 현황'!$I$6:$I$105,'수집 현황'!$B$6:$B$105,$A66,'수집 현황'!$C$6:$C$105,"sitting_straight"),""))</f>
        <v>4050</v>
      </c>
    </row>
    <row r="67" customFormat="false" ht="15" hidden="false" customHeight="false" outlineLevel="0" collapsed="false">
      <c r="A67" s="23" t="str">
        <f aca="false">IF('참가자 명단'!B8="","",'참가자 명단'!B8)</f>
        <v>yewon</v>
      </c>
      <c r="B67" s="30" t="n">
        <f aca="false">IF(OR($A67="",$C67="",$D67="",$D67=0),"",$C67/$D67*100)</f>
        <v>39.7582697201018</v>
      </c>
      <c r="C67" s="53" t="n">
        <f aca="false">IF($A67="","",IFERROR(AVERAGEIFS('수집 현황'!$I$6:$I$105,'수집 현황'!$B$6:$B$105,$A67,'수집 현황'!$C$6:$C$105,"turtle_neck"),""))</f>
        <v>1250</v>
      </c>
      <c r="D67" s="53" t="n">
        <f aca="false">IF($A67="","",IFERROR(AVERAGEIFS('수집 현황'!$I$6:$I$105,'수집 현황'!$B$6:$B$105,$A67,'수집 현황'!$C$6:$C$105,"sitting_straight"),""))</f>
        <v>3144</v>
      </c>
    </row>
    <row r="68" customFormat="false" ht="15" hidden="false" customHeight="false" outlineLevel="0" collapsed="false">
      <c r="A68" s="23" t="str">
        <f aca="false">IF('참가자 명단'!B9="","",'참가자 명단'!B9)</f>
        <v>junseo</v>
      </c>
      <c r="B68" s="30" t="n">
        <f aca="false">IF(OR($A68="",$C68="",$D68="",$D68=0),"",$C68/$D68*100)</f>
        <v>0.475866757307954</v>
      </c>
      <c r="C68" s="53" t="n">
        <f aca="false">IF($A68="","",IFERROR(AVERAGEIFS('수집 현황'!$I$6:$I$105,'수집 현황'!$B$6:$B$105,$A68,'수집 현황'!$C$6:$C$105,"turtle_neck"),""))</f>
        <v>7</v>
      </c>
      <c r="D68" s="53" t="n">
        <f aca="false">IF($A68="","",IFERROR(AVERAGEIFS('수집 현황'!$I$6:$I$105,'수집 현황'!$B$6:$B$105,$A68,'수집 현황'!$C$6:$C$105,"sitting_straight"),""))</f>
        <v>1471</v>
      </c>
    </row>
    <row r="69" customFormat="false" ht="15" hidden="false" customHeight="false" outlineLevel="0" collapsed="false">
      <c r="A69" s="23" t="str">
        <f aca="false">IF('참가자 명단'!B10="","",'참가자 명단'!B10)</f>
        <v/>
      </c>
      <c r="B69" s="30" t="str">
        <f aca="false">IF(OR($A69="",$C69="",$D69="",$D69=0),"",$C69/$D69*100)</f>
        <v/>
      </c>
      <c r="C69" s="53" t="str">
        <f aca="false">IF($A69="","",IFERROR(AVERAGEIFS('수집 현황'!$I$6:$I$105,'수집 현황'!$B$6:$B$105,$A69,'수집 현황'!$C$6:$C$105,"turtle_neck"),""))</f>
        <v/>
      </c>
      <c r="D69" s="53" t="str">
        <f aca="false">IF($A69="","",IFERROR(AVERAGEIFS('수집 현황'!$I$6:$I$105,'수집 현황'!$B$6:$B$105,$A69,'수집 현황'!$C$6:$C$105,"sitting_straight"),""))</f>
        <v/>
      </c>
    </row>
    <row r="70" customFormat="false" ht="15" hidden="false" customHeight="false" outlineLevel="0" collapsed="false">
      <c r="A70" s="23" t="str">
        <f aca="false">IF('참가자 명단'!B11="","",'참가자 명단'!B11)</f>
        <v/>
      </c>
      <c r="B70" s="30" t="str">
        <f aca="false">IF(OR($A70="",$C70="",$D70="",$D70=0),"",$C70/$D70*100)</f>
        <v/>
      </c>
      <c r="C70" s="53" t="str">
        <f aca="false">IF($A70="","",IFERROR(AVERAGEIFS('수집 현황'!$I$6:$I$105,'수집 현황'!$B$6:$B$105,$A70,'수집 현황'!$C$6:$C$105,"turtle_neck"),""))</f>
        <v/>
      </c>
      <c r="D70" s="53" t="str">
        <f aca="false">IF($A70="","",IFERROR(AVERAGEIFS('수집 현황'!$I$6:$I$105,'수집 현황'!$B$6:$B$105,$A70,'수집 현황'!$C$6:$C$105,"sitting_straight"),""))</f>
        <v/>
      </c>
    </row>
    <row r="71" customFormat="false" ht="15" hidden="false" customHeight="false" outlineLevel="0" collapsed="false">
      <c r="A71" s="23" t="str">
        <f aca="false">IF('참가자 명단'!B12="","",'참가자 명단'!B12)</f>
        <v/>
      </c>
      <c r="B71" s="30" t="str">
        <f aca="false">IF(OR($A71="",$C71="",$D71="",$D71=0),"",$C71/$D71*100)</f>
        <v/>
      </c>
      <c r="C71" s="53" t="str">
        <f aca="false">IF($A71="","",IFERROR(AVERAGEIFS('수집 현황'!$I$6:$I$105,'수집 현황'!$B$6:$B$105,$A71,'수집 현황'!$C$6:$C$105,"turtle_neck"),""))</f>
        <v/>
      </c>
      <c r="D71" s="53" t="str">
        <f aca="false">IF($A71="","",IFERROR(AVERAGEIFS('수집 현황'!$I$6:$I$105,'수집 현황'!$B$6:$B$105,$A71,'수집 현황'!$C$6:$C$105,"sitting_straight"),""))</f>
        <v/>
      </c>
    </row>
    <row r="72" customFormat="false" ht="15" hidden="false" customHeight="false" outlineLevel="0" collapsed="false">
      <c r="A72" s="23" t="str">
        <f aca="false">IF('참가자 명단'!B13="","",'참가자 명단'!B13)</f>
        <v/>
      </c>
      <c r="B72" s="30" t="str">
        <f aca="false">IF(OR($A72="",$C72="",$D72="",$D72=0),"",$C72/$D72*100)</f>
        <v/>
      </c>
      <c r="C72" s="53" t="str">
        <f aca="false">IF($A72="","",IFERROR(AVERAGEIFS('수집 현황'!$I$6:$I$105,'수집 현황'!$B$6:$B$105,$A72,'수집 현황'!$C$6:$C$105,"turtle_neck"),""))</f>
        <v/>
      </c>
      <c r="D72" s="53" t="str">
        <f aca="false">IF($A72="","",IFERROR(AVERAGEIFS('수집 현황'!$I$6:$I$105,'수집 현황'!$B$6:$B$105,$A72,'수집 현황'!$C$6:$C$105,"sitting_straight"),""))</f>
        <v/>
      </c>
    </row>
    <row r="73" customFormat="false" ht="15" hidden="false" customHeight="false" outlineLevel="0" collapsed="false">
      <c r="A73" s="23" t="str">
        <f aca="false">IF('참가자 명단'!B14="","",'참가자 명단'!B14)</f>
        <v/>
      </c>
      <c r="B73" s="30" t="str">
        <f aca="false">IF(OR($A73="",$C73="",$D73="",$D73=0),"",$C73/$D73*100)</f>
        <v/>
      </c>
      <c r="C73" s="53" t="str">
        <f aca="false">IF($A73="","",IFERROR(AVERAGEIFS('수집 현황'!$I$6:$I$105,'수집 현황'!$B$6:$B$105,$A73,'수집 현황'!$C$6:$C$105,"turtle_neck"),""))</f>
        <v/>
      </c>
      <c r="D73" s="53" t="str">
        <f aca="false">IF($A73="","",IFERROR(AVERAGEIFS('수집 현황'!$I$6:$I$105,'수집 현황'!$B$6:$B$105,$A73,'수집 현황'!$C$6:$C$105,"sitting_straight"),""))</f>
        <v/>
      </c>
    </row>
    <row r="74" customFormat="false" ht="15" hidden="false" customHeight="false" outlineLevel="0" collapsed="false">
      <c r="A74" s="23" t="str">
        <f aca="false">IF('참가자 명단'!B15="","",'참가자 명단'!B15)</f>
        <v/>
      </c>
      <c r="B74" s="30" t="str">
        <f aca="false">IF(OR($A74="",$C74="",$D74="",$D74=0),"",$C74/$D74*100)</f>
        <v/>
      </c>
      <c r="C74" s="53" t="str">
        <f aca="false">IF($A74="","",IFERROR(AVERAGEIFS('수집 현황'!$I$6:$I$105,'수집 현황'!$B$6:$B$105,$A74,'수집 현황'!$C$6:$C$105,"turtle_neck"),""))</f>
        <v/>
      </c>
      <c r="D74" s="53" t="str">
        <f aca="false">IF($A74="","",IFERROR(AVERAGEIFS('수집 현황'!$I$6:$I$105,'수집 현황'!$B$6:$B$105,$A74,'수집 현황'!$C$6:$C$105,"sitting_straight"),""))</f>
        <v/>
      </c>
    </row>
    <row r="75" customFormat="false" ht="15" hidden="false" customHeight="false" outlineLevel="0" collapsed="false">
      <c r="A75" s="23" t="str">
        <f aca="false">IF('참가자 명단'!B16="","",'참가자 명단'!B16)</f>
        <v/>
      </c>
      <c r="B75" s="30" t="str">
        <f aca="false">IF(OR($A75="",$C75="",$D75="",$D75=0),"",$C75/$D75*100)</f>
        <v/>
      </c>
      <c r="C75" s="53" t="str">
        <f aca="false">IF($A75="","",IFERROR(AVERAGEIFS('수집 현황'!$I$6:$I$105,'수집 현황'!$B$6:$B$105,$A75,'수집 현황'!$C$6:$C$105,"turtle_neck"),""))</f>
        <v/>
      </c>
      <c r="D75" s="53" t="str">
        <f aca="false">IF($A75="","",IFERROR(AVERAGEIFS('수집 현황'!$I$6:$I$105,'수집 현황'!$B$6:$B$105,$A75,'수집 현황'!$C$6:$C$105,"sitting_straight"),""))</f>
        <v/>
      </c>
    </row>
    <row r="76" customFormat="false" ht="15" hidden="false" customHeight="false" outlineLevel="0" collapsed="false">
      <c r="A76" s="23" t="str">
        <f aca="false">IF('참가자 명단'!B17="","",'참가자 명단'!B17)</f>
        <v/>
      </c>
      <c r="B76" s="30" t="str">
        <f aca="false">IF(OR($A76="",$C76="",$D76="",$D76=0),"",$C76/$D76*100)</f>
        <v/>
      </c>
      <c r="C76" s="53" t="str">
        <f aca="false">IF($A76="","",IFERROR(AVERAGEIFS('수집 현황'!$I$6:$I$105,'수집 현황'!$B$6:$B$105,$A76,'수집 현황'!$C$6:$C$105,"turtle_neck"),""))</f>
        <v/>
      </c>
      <c r="D76" s="53" t="str">
        <f aca="false">IF($A76="","",IFERROR(AVERAGEIFS('수집 현황'!$I$6:$I$105,'수집 현황'!$B$6:$B$105,$A76,'수집 현황'!$C$6:$C$105,"sitting_straight"),""))</f>
        <v/>
      </c>
    </row>
    <row r="78" customFormat="false" ht="15" hidden="false" customHeight="false" outlineLevel="0" collapsed="false">
      <c r="A78" s="2" t="s">
        <v>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2026-10-18T14:50:21Z</dcterms:created>
  <dc:creator>openpyxl</dc:creator>
  <dc:description/>
  <dc:language>en-US</dc:language>
  <cp:lastModifiedBy/>
  <dcterms:modified xsi:type="dcterms:W3CDTF">2026-10-18T14:50:21Z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